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b1_1_1\"/>
    </mc:Choice>
  </mc:AlternateContent>
  <xr:revisionPtr revIDLastSave="0" documentId="13_ncr:1_{FE1AF10C-19D7-4637-B45F-3A52B91AC67A}" xr6:coauthVersionLast="47" xr6:coauthVersionMax="47" xr10:uidLastSave="{00000000-0000-0000-0000-000000000000}"/>
  <bookViews>
    <workbookView xWindow="-120" yWindow="-120" windowWidth="29040" windowHeight="15720" firstSheet="2" activeTab="7" xr2:uid="{EC699E56-1FFD-4215-9D3B-CE2DC258E928}"/>
  </bookViews>
  <sheets>
    <sheet name="Master_Barang" sheetId="1" r:id="rId1"/>
    <sheet name="Master_Konversi_Satuan" sheetId="3" r:id="rId2"/>
    <sheet name="Barang_Masuk" sheetId="4" r:id="rId3"/>
    <sheet name="Stok_Mutasi" sheetId="6" r:id="rId4"/>
    <sheet name="Penjualan" sheetId="5" r:id="rId5"/>
    <sheet name="Laporan_Stok" sheetId="8" r:id="rId6"/>
    <sheet name="Laporan_Penjualan" sheetId="9" r:id="rId7"/>
    <sheet name="Laporan_Laba" sheetId="10" r:id="rId8"/>
    <sheet name="HPP_Sederhana" sheetId="11" r:id="rId9"/>
    <sheet name="Master_Dropdown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0" l="1"/>
  <c r="I4" i="10"/>
  <c r="I5" i="10"/>
  <c r="I6" i="10"/>
  <c r="I7" i="10"/>
  <c r="I8" i="10"/>
  <c r="I9" i="10"/>
  <c r="I10" i="10"/>
  <c r="I11" i="10"/>
  <c r="I12" i="10"/>
  <c r="H3" i="10"/>
  <c r="H4" i="10"/>
  <c r="H5" i="10"/>
  <c r="H6" i="10"/>
  <c r="H7" i="10"/>
  <c r="H8" i="10"/>
  <c r="H9" i="10"/>
  <c r="H10" i="10"/>
  <c r="H11" i="10"/>
  <c r="H12" i="10"/>
  <c r="I2" i="10"/>
  <c r="H2" i="10"/>
  <c r="A4" i="11"/>
  <c r="A5" i="11"/>
  <c r="A6" i="11"/>
  <c r="D6" i="11" s="1"/>
  <c r="E6" i="11" s="1"/>
  <c r="A7" i="11"/>
  <c r="B7" i="11" s="1"/>
  <c r="B4" i="11"/>
  <c r="B5" i="11"/>
  <c r="B6" i="11"/>
  <c r="C4" i="11"/>
  <c r="C5" i="11"/>
  <c r="E5" i="11" s="1"/>
  <c r="C6" i="11"/>
  <c r="C7" i="11"/>
  <c r="D4" i="11"/>
  <c r="D5" i="11"/>
  <c r="F4" i="11"/>
  <c r="F5" i="11"/>
  <c r="G5" i="11" s="1"/>
  <c r="G7" i="10" s="1"/>
  <c r="F6" i="11"/>
  <c r="F7" i="11"/>
  <c r="F3" i="11"/>
  <c r="G3" i="11" s="1"/>
  <c r="D3" i="11"/>
  <c r="C3" i="11"/>
  <c r="E3" i="11" s="1"/>
  <c r="A3" i="11"/>
  <c r="B3" i="11" s="1"/>
  <c r="G12" i="10"/>
  <c r="A2" i="11"/>
  <c r="F2" i="11" s="1"/>
  <c r="A3" i="9"/>
  <c r="C3" i="9" s="1"/>
  <c r="A4" i="9"/>
  <c r="B4" i="9" s="1"/>
  <c r="A5" i="9"/>
  <c r="D5" i="9" s="1"/>
  <c r="A6" i="9"/>
  <c r="B6" i="9" s="1"/>
  <c r="A7" i="9"/>
  <c r="E7" i="9" s="1"/>
  <c r="A8" i="9"/>
  <c r="A9" i="9"/>
  <c r="C9" i="9" s="1"/>
  <c r="A10" i="9"/>
  <c r="A11" i="9"/>
  <c r="C11" i="9" s="1"/>
  <c r="A12" i="9"/>
  <c r="B12" i="9" s="1"/>
  <c r="A13" i="9"/>
  <c r="B13" i="9" s="1"/>
  <c r="A14" i="9"/>
  <c r="B14" i="9" s="1"/>
  <c r="A15" i="9"/>
  <c r="E15" i="9" s="1"/>
  <c r="A16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2" i="8"/>
  <c r="A12" i="10"/>
  <c r="A13" i="10"/>
  <c r="B12" i="10"/>
  <c r="B13" i="10"/>
  <c r="C12" i="10"/>
  <c r="C13" i="10"/>
  <c r="D12" i="10"/>
  <c r="D13" i="10"/>
  <c r="E12" i="10"/>
  <c r="E13" i="10"/>
  <c r="F12" i="10"/>
  <c r="F13" i="10"/>
  <c r="G13" i="10"/>
  <c r="H13" i="10"/>
  <c r="I13" i="10"/>
  <c r="A3" i="10"/>
  <c r="A4" i="10"/>
  <c r="A5" i="10"/>
  <c r="A6" i="10"/>
  <c r="F6" i="10" s="1"/>
  <c r="A7" i="10"/>
  <c r="E7" i="10" s="1"/>
  <c r="A8" i="10"/>
  <c r="D8" i="10" s="1"/>
  <c r="A9" i="10"/>
  <c r="C9" i="10" s="1"/>
  <c r="A10" i="10"/>
  <c r="B10" i="10" s="1"/>
  <c r="A11" i="10"/>
  <c r="B3" i="10"/>
  <c r="B5" i="10"/>
  <c r="B6" i="10"/>
  <c r="B7" i="10"/>
  <c r="B8" i="10"/>
  <c r="B9" i="10"/>
  <c r="B11" i="10"/>
  <c r="C3" i="10"/>
  <c r="C5" i="10"/>
  <c r="C6" i="10"/>
  <c r="C7" i="10"/>
  <c r="C8" i="10"/>
  <c r="C11" i="10"/>
  <c r="D3" i="10"/>
  <c r="D5" i="10"/>
  <c r="D6" i="10"/>
  <c r="D7" i="10"/>
  <c r="D11" i="10"/>
  <c r="E3" i="10"/>
  <c r="E5" i="10"/>
  <c r="E6" i="10"/>
  <c r="E8" i="10"/>
  <c r="E11" i="10"/>
  <c r="F3" i="10"/>
  <c r="F4" i="10"/>
  <c r="F5" i="10"/>
  <c r="F7" i="10"/>
  <c r="F11" i="10"/>
  <c r="K3" i="6"/>
  <c r="M3" i="6" s="1"/>
  <c r="K4" i="6"/>
  <c r="K5" i="6"/>
  <c r="L5" i="6" s="1"/>
  <c r="K6" i="6"/>
  <c r="L6" i="6" s="1"/>
  <c r="K7" i="6"/>
  <c r="K8" i="6"/>
  <c r="M8" i="6" s="1"/>
  <c r="K9" i="6"/>
  <c r="N9" i="6" s="1"/>
  <c r="K10" i="6"/>
  <c r="N10" i="6" s="1"/>
  <c r="K11" i="6"/>
  <c r="M11" i="6" s="1"/>
  <c r="K13" i="6"/>
  <c r="K14" i="6"/>
  <c r="L14" i="6" s="1"/>
  <c r="K15" i="6"/>
  <c r="L15" i="6" s="1"/>
  <c r="K16" i="6"/>
  <c r="K17" i="6"/>
  <c r="M17" i="6" s="1"/>
  <c r="L3" i="6"/>
  <c r="L4" i="6"/>
  <c r="L7" i="6"/>
  <c r="L8" i="6"/>
  <c r="L11" i="6"/>
  <c r="L13" i="6"/>
  <c r="L16" i="6"/>
  <c r="L17" i="6"/>
  <c r="M4" i="6"/>
  <c r="M7" i="6"/>
  <c r="M9" i="6"/>
  <c r="M10" i="6"/>
  <c r="M13" i="6"/>
  <c r="M16" i="6"/>
  <c r="N3" i="6"/>
  <c r="N4" i="6"/>
  <c r="N7" i="6"/>
  <c r="N8" i="6"/>
  <c r="N11" i="6"/>
  <c r="N13" i="6"/>
  <c r="N16" i="6"/>
  <c r="N17" i="6"/>
  <c r="O3" i="6"/>
  <c r="O4" i="6"/>
  <c r="O5" i="6"/>
  <c r="O6" i="6"/>
  <c r="O7" i="6"/>
  <c r="O8" i="6"/>
  <c r="O9" i="6"/>
  <c r="O10" i="6"/>
  <c r="O11" i="6"/>
  <c r="O13" i="6"/>
  <c r="O15" i="6"/>
  <c r="O16" i="6"/>
  <c r="O17" i="6"/>
  <c r="P3" i="6"/>
  <c r="P4" i="6"/>
  <c r="P7" i="6"/>
  <c r="R7" i="6" s="1"/>
  <c r="P8" i="6"/>
  <c r="P11" i="6"/>
  <c r="P13" i="6"/>
  <c r="P16" i="6"/>
  <c r="P17" i="6"/>
  <c r="Q4" i="6"/>
  <c r="Q5" i="6"/>
  <c r="Q6" i="6"/>
  <c r="Q7" i="6"/>
  <c r="Q9" i="6"/>
  <c r="Q10" i="6"/>
  <c r="Q13" i="6"/>
  <c r="Q16" i="6"/>
  <c r="R4" i="6"/>
  <c r="R13" i="6"/>
  <c r="R16" i="6"/>
  <c r="R17" i="6"/>
  <c r="S3" i="6"/>
  <c r="S4" i="6"/>
  <c r="S5" i="6"/>
  <c r="S6" i="6"/>
  <c r="S7" i="6"/>
  <c r="S8" i="6"/>
  <c r="S9" i="6"/>
  <c r="S10" i="6"/>
  <c r="S11" i="6"/>
  <c r="S13" i="6"/>
  <c r="S14" i="6"/>
  <c r="S15" i="6"/>
  <c r="S16" i="6"/>
  <c r="S17" i="6"/>
  <c r="D3" i="5"/>
  <c r="D4" i="5"/>
  <c r="D5" i="5"/>
  <c r="D6" i="5"/>
  <c r="D7" i="5"/>
  <c r="D8" i="5"/>
  <c r="D9" i="5"/>
  <c r="D10" i="5"/>
  <c r="D11" i="5"/>
  <c r="D2" i="5"/>
  <c r="S2" i="6"/>
  <c r="R2" i="6"/>
  <c r="Q2" i="6"/>
  <c r="P2" i="6"/>
  <c r="O2" i="6"/>
  <c r="N2" i="6"/>
  <c r="M2" i="6"/>
  <c r="L2" i="6"/>
  <c r="K12" i="6"/>
  <c r="K2" i="6"/>
  <c r="G7" i="5" a="1"/>
  <c r="G7" i="5" s="1"/>
  <c r="H7" i="5" s="1"/>
  <c r="I5" i="5" a="1"/>
  <c r="I5" i="5" s="1"/>
  <c r="J5" i="5" s="1"/>
  <c r="I6" i="5" a="1"/>
  <c r="I6" i="5" s="1"/>
  <c r="J6" i="5" s="1"/>
  <c r="I7" i="5" a="1"/>
  <c r="I7" i="5" s="1"/>
  <c r="J7" i="5" s="1"/>
  <c r="I8" i="5" a="1"/>
  <c r="I8" i="5" s="1"/>
  <c r="J8" i="5" s="1"/>
  <c r="I9" i="5" a="1"/>
  <c r="I9" i="5" s="1"/>
  <c r="J9" i="5" s="1"/>
  <c r="I10" i="5" a="1"/>
  <c r="I10" i="5" s="1"/>
  <c r="J10" i="5" s="1"/>
  <c r="I11" i="5" a="1"/>
  <c r="I11" i="5" s="1"/>
  <c r="J11" i="5" s="1"/>
  <c r="G5" i="5" a="1"/>
  <c r="G5" i="5" s="1"/>
  <c r="H5" i="5" s="1"/>
  <c r="G6" i="5" a="1"/>
  <c r="G6" i="5" s="1"/>
  <c r="H6" i="5" s="1"/>
  <c r="G8" i="5" a="1"/>
  <c r="G8" i="5" s="1"/>
  <c r="H8" i="5" s="1"/>
  <c r="G9" i="5" a="1"/>
  <c r="G9" i="5" s="1"/>
  <c r="H9" i="5" s="1"/>
  <c r="G10" i="5" a="1"/>
  <c r="G10" i="5" s="1"/>
  <c r="H10" i="5" s="1"/>
  <c r="G11" i="5" a="1"/>
  <c r="G11" i="5" s="1"/>
  <c r="H11" i="5" s="1"/>
  <c r="D3" i="4"/>
  <c r="D4" i="4"/>
  <c r="D5" i="4"/>
  <c r="D6" i="4"/>
  <c r="D7" i="4"/>
  <c r="D8" i="4"/>
  <c r="E8" i="6" s="1"/>
  <c r="D9" i="4"/>
  <c r="D10" i="4"/>
  <c r="D11" i="4"/>
  <c r="D12" i="4"/>
  <c r="D13" i="4"/>
  <c r="D14" i="4"/>
  <c r="D15" i="4"/>
  <c r="E15" i="6" s="1"/>
  <c r="D16" i="4"/>
  <c r="E16" i="6" s="1"/>
  <c r="D2" i="4"/>
  <c r="A7" i="6"/>
  <c r="A8" i="6"/>
  <c r="A9" i="6"/>
  <c r="A10" i="6"/>
  <c r="D10" i="6" s="1"/>
  <c r="A11" i="6"/>
  <c r="E11" i="6" s="1"/>
  <c r="A12" i="6"/>
  <c r="F12" i="6" s="1"/>
  <c r="A13" i="6"/>
  <c r="G13" i="6" s="1"/>
  <c r="A14" i="6"/>
  <c r="A15" i="6"/>
  <c r="A16" i="6"/>
  <c r="A17" i="6"/>
  <c r="A18" i="6"/>
  <c r="D18" i="6" s="1"/>
  <c r="A19" i="6"/>
  <c r="E19" i="6" s="1"/>
  <c r="A20" i="6"/>
  <c r="F20" i="6" s="1"/>
  <c r="A21" i="6"/>
  <c r="G21" i="6" s="1"/>
  <c r="B7" i="6"/>
  <c r="B8" i="6"/>
  <c r="B9" i="6"/>
  <c r="B12" i="6"/>
  <c r="B14" i="6"/>
  <c r="B15" i="6"/>
  <c r="B16" i="6"/>
  <c r="B17" i="6"/>
  <c r="B20" i="6"/>
  <c r="C7" i="6"/>
  <c r="C8" i="6"/>
  <c r="C9" i="6"/>
  <c r="C12" i="6"/>
  <c r="C13" i="6"/>
  <c r="C14" i="6"/>
  <c r="C15" i="6"/>
  <c r="C16" i="6"/>
  <c r="C17" i="6"/>
  <c r="C20" i="6"/>
  <c r="C21" i="6"/>
  <c r="D7" i="6"/>
  <c r="D8" i="6"/>
  <c r="D9" i="6"/>
  <c r="D13" i="6"/>
  <c r="D14" i="6"/>
  <c r="D15" i="6"/>
  <c r="D16" i="6"/>
  <c r="D17" i="6"/>
  <c r="D21" i="6"/>
  <c r="E7" i="6"/>
  <c r="E9" i="6"/>
  <c r="E14" i="6"/>
  <c r="E17" i="6"/>
  <c r="F7" i="6"/>
  <c r="H7" i="6" s="1"/>
  <c r="F8" i="6"/>
  <c r="H8" i="6" s="1"/>
  <c r="F9" i="6"/>
  <c r="F15" i="6"/>
  <c r="H15" i="6" s="1"/>
  <c r="F16" i="6"/>
  <c r="H16" i="6" s="1"/>
  <c r="F17" i="6"/>
  <c r="G7" i="6"/>
  <c r="G8" i="6"/>
  <c r="G9" i="6"/>
  <c r="H9" i="6" s="1"/>
  <c r="G12" i="6"/>
  <c r="G15" i="6"/>
  <c r="G16" i="6"/>
  <c r="G17" i="6"/>
  <c r="G20" i="6"/>
  <c r="H17" i="6"/>
  <c r="H18" i="6"/>
  <c r="H20" i="6"/>
  <c r="H21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A3" i="6"/>
  <c r="B3" i="6" s="1"/>
  <c r="A4" i="6"/>
  <c r="B4" i="6" s="1"/>
  <c r="A5" i="6"/>
  <c r="B5" i="6" s="1"/>
  <c r="A6" i="6"/>
  <c r="C3" i="6"/>
  <c r="C4" i="6"/>
  <c r="C5" i="6"/>
  <c r="C6" i="6"/>
  <c r="D3" i="6"/>
  <c r="D4" i="6"/>
  <c r="D5" i="6"/>
  <c r="D6" i="6"/>
  <c r="E3" i="6"/>
  <c r="E4" i="6"/>
  <c r="E5" i="6"/>
  <c r="E6" i="6"/>
  <c r="F3" i="6"/>
  <c r="F4" i="6"/>
  <c r="F5" i="6"/>
  <c r="F6" i="6"/>
  <c r="H6" i="6" s="1"/>
  <c r="G3" i="6"/>
  <c r="G4" i="6"/>
  <c r="G5" i="6"/>
  <c r="G6" i="6"/>
  <c r="H3" i="6"/>
  <c r="H4" i="6"/>
  <c r="H5" i="6"/>
  <c r="I3" i="6"/>
  <c r="I4" i="6"/>
  <c r="I5" i="6"/>
  <c r="I6" i="6"/>
  <c r="G12" i="4" a="1"/>
  <c r="G12" i="4" s="1"/>
  <c r="H12" i="4" s="1"/>
  <c r="G13" i="4" a="1"/>
  <c r="G13" i="4" s="1"/>
  <c r="H13" i="4" s="1"/>
  <c r="G14" i="4" a="1"/>
  <c r="G14" i="4" s="1"/>
  <c r="H14" i="4" s="1"/>
  <c r="G15" i="4" a="1"/>
  <c r="G15" i="4" s="1"/>
  <c r="H15" i="4" s="1"/>
  <c r="G16" i="4" a="1"/>
  <c r="G16" i="4" s="1"/>
  <c r="H16" i="4" s="1"/>
  <c r="J12" i="4"/>
  <c r="J13" i="4"/>
  <c r="J14" i="4"/>
  <c r="J15" i="4"/>
  <c r="J16" i="4"/>
  <c r="G2" i="4" a="1"/>
  <c r="G2" i="4" s="1"/>
  <c r="H2" i="4" s="1"/>
  <c r="A2" i="10"/>
  <c r="G3" i="4" a="1"/>
  <c r="G3" i="4" s="1"/>
  <c r="H3" i="4" s="1"/>
  <c r="G4" i="4" a="1"/>
  <c r="G4" i="4" s="1"/>
  <c r="H4" i="4" s="1"/>
  <c r="G5" i="4" a="1"/>
  <c r="G5" i="4" s="1"/>
  <c r="H5" i="4" s="1"/>
  <c r="G6" i="4" a="1"/>
  <c r="G6" i="4" s="1"/>
  <c r="H6" i="4" s="1"/>
  <c r="G7" i="4" a="1"/>
  <c r="G7" i="4" s="1"/>
  <c r="H7" i="4" s="1"/>
  <c r="G8" i="4" a="1"/>
  <c r="G8" i="4" s="1"/>
  <c r="H8" i="4" s="1"/>
  <c r="G9" i="4" a="1"/>
  <c r="G9" i="4" s="1"/>
  <c r="H9" i="4" s="1"/>
  <c r="G10" i="4" a="1"/>
  <c r="G10" i="4" s="1"/>
  <c r="H10" i="4" s="1"/>
  <c r="G11" i="4" a="1"/>
  <c r="G11" i="4" s="1"/>
  <c r="H11" i="4" s="1"/>
  <c r="J3" i="4"/>
  <c r="J4" i="4"/>
  <c r="J5" i="4"/>
  <c r="J6" i="4"/>
  <c r="J7" i="4"/>
  <c r="J8" i="4"/>
  <c r="J9" i="4"/>
  <c r="J10" i="4"/>
  <c r="J11" i="4"/>
  <c r="G3" i="5" a="1"/>
  <c r="G3" i="5" s="1"/>
  <c r="H3" i="5" s="1"/>
  <c r="G4" i="5" a="1"/>
  <c r="G4" i="5" s="1"/>
  <c r="H4" i="5" s="1"/>
  <c r="I3" i="5" a="1"/>
  <c r="I3" i="5" s="1"/>
  <c r="J3" i="5" s="1"/>
  <c r="I4" i="5" a="1"/>
  <c r="I4" i="5" s="1"/>
  <c r="J4" i="5" s="1"/>
  <c r="L12" i="6"/>
  <c r="M12" i="6"/>
  <c r="N12" i="6"/>
  <c r="O12" i="6"/>
  <c r="P12" i="6"/>
  <c r="Q12" i="6"/>
  <c r="R12" i="6"/>
  <c r="S12" i="6"/>
  <c r="B3" i="9"/>
  <c r="B8" i="9"/>
  <c r="B9" i="9"/>
  <c r="B10" i="9"/>
  <c r="B11" i="9"/>
  <c r="B16" i="9"/>
  <c r="B17" i="9"/>
  <c r="B18" i="9"/>
  <c r="B19" i="9"/>
  <c r="C6" i="9"/>
  <c r="C8" i="9"/>
  <c r="C10" i="9"/>
  <c r="C14" i="9"/>
  <c r="C16" i="9"/>
  <c r="C17" i="9"/>
  <c r="C18" i="9"/>
  <c r="C19" i="9"/>
  <c r="D3" i="9"/>
  <c r="D4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E3" i="9"/>
  <c r="E4" i="9"/>
  <c r="E6" i="9"/>
  <c r="E8" i="9"/>
  <c r="E10" i="9"/>
  <c r="E11" i="9"/>
  <c r="E12" i="9"/>
  <c r="E13" i="9"/>
  <c r="E14" i="9"/>
  <c r="E16" i="9"/>
  <c r="E17" i="9"/>
  <c r="E18" i="9"/>
  <c r="E19" i="9"/>
  <c r="A2" i="9"/>
  <c r="C2" i="9" s="1"/>
  <c r="E15" i="8"/>
  <c r="A3" i="8"/>
  <c r="B3" i="8" s="1"/>
  <c r="A4" i="8"/>
  <c r="B4" i="8" s="1"/>
  <c r="A5" i="8"/>
  <c r="B5" i="8" s="1"/>
  <c r="A6" i="8"/>
  <c r="A7" i="8"/>
  <c r="A8" i="8"/>
  <c r="A9" i="8"/>
  <c r="D9" i="8" s="1"/>
  <c r="A10" i="8"/>
  <c r="D10" i="8" s="1"/>
  <c r="A11" i="8"/>
  <c r="A12" i="8"/>
  <c r="A13" i="8"/>
  <c r="B13" i="8" s="1"/>
  <c r="A14" i="8"/>
  <c r="B14" i="8" s="1"/>
  <c r="A15" i="8"/>
  <c r="A16" i="8"/>
  <c r="B6" i="8"/>
  <c r="B11" i="8"/>
  <c r="B12" i="8"/>
  <c r="D3" i="8"/>
  <c r="D4" i="8"/>
  <c r="D5" i="8"/>
  <c r="D6" i="8"/>
  <c r="D7" i="8"/>
  <c r="D8" i="8"/>
  <c r="D11" i="8"/>
  <c r="D12" i="8"/>
  <c r="D13" i="8"/>
  <c r="D14" i="8"/>
  <c r="D15" i="8"/>
  <c r="D16" i="8"/>
  <c r="E8" i="8"/>
  <c r="E9" i="8"/>
  <c r="E10" i="8"/>
  <c r="E11" i="8"/>
  <c r="E12" i="8"/>
  <c r="E13" i="8"/>
  <c r="E14" i="8"/>
  <c r="E16" i="8"/>
  <c r="A2" i="8"/>
  <c r="A2" i="6"/>
  <c r="D2" i="6" s="1"/>
  <c r="I2" i="5" a="1"/>
  <c r="I2" i="5" s="1"/>
  <c r="J2" i="5" s="1"/>
  <c r="F2" i="10" s="1"/>
  <c r="G2" i="5" a="1"/>
  <c r="G2" i="5" s="1"/>
  <c r="H2" i="5" s="1"/>
  <c r="E2" i="10" s="1"/>
  <c r="J2" i="4"/>
  <c r="B2" i="11" l="1"/>
  <c r="C2" i="11"/>
  <c r="E2" i="11" s="1"/>
  <c r="G2" i="11" s="1"/>
  <c r="G9" i="10"/>
  <c r="E4" i="11"/>
  <c r="G4" i="11" s="1"/>
  <c r="D2" i="11"/>
  <c r="G3" i="10"/>
  <c r="G6" i="11"/>
  <c r="G4" i="10" s="1"/>
  <c r="G5" i="10"/>
  <c r="G10" i="10"/>
  <c r="D7" i="11"/>
  <c r="E7" i="11" s="1"/>
  <c r="G7" i="11" s="1"/>
  <c r="G8" i="10" s="1"/>
  <c r="E5" i="9"/>
  <c r="C7" i="9"/>
  <c r="B15" i="9"/>
  <c r="C13" i="9"/>
  <c r="C5" i="9"/>
  <c r="C12" i="9"/>
  <c r="C4" i="9"/>
  <c r="B5" i="9"/>
  <c r="E9" i="9"/>
  <c r="C15" i="9"/>
  <c r="B7" i="9"/>
  <c r="F10" i="10"/>
  <c r="D4" i="10"/>
  <c r="E4" i="10"/>
  <c r="F9" i="10"/>
  <c r="E10" i="10"/>
  <c r="C4" i="10"/>
  <c r="F8" i="10"/>
  <c r="E9" i="10"/>
  <c r="D10" i="10"/>
  <c r="B4" i="10"/>
  <c r="D9" i="10"/>
  <c r="C10" i="10"/>
  <c r="Q15" i="6"/>
  <c r="M15" i="6"/>
  <c r="M6" i="6"/>
  <c r="Q14" i="6"/>
  <c r="M5" i="6"/>
  <c r="R15" i="6"/>
  <c r="R6" i="6"/>
  <c r="P10" i="6"/>
  <c r="N15" i="6"/>
  <c r="N6" i="6"/>
  <c r="L10" i="6"/>
  <c r="M14" i="6"/>
  <c r="R14" i="6"/>
  <c r="R5" i="6"/>
  <c r="Q11" i="6"/>
  <c r="R11" i="6" s="1"/>
  <c r="Q3" i="6"/>
  <c r="R3" i="6" s="1"/>
  <c r="P9" i="6"/>
  <c r="N14" i="6"/>
  <c r="N5" i="6"/>
  <c r="L9" i="6"/>
  <c r="O14" i="6"/>
  <c r="R10" i="6"/>
  <c r="Q17" i="6"/>
  <c r="Q8" i="6"/>
  <c r="R8" i="6" s="1"/>
  <c r="P15" i="6"/>
  <c r="P6" i="6"/>
  <c r="R9" i="6"/>
  <c r="P14" i="6"/>
  <c r="P5" i="6"/>
  <c r="D2" i="10"/>
  <c r="D2" i="9"/>
  <c r="E2" i="9"/>
  <c r="B2" i="10"/>
  <c r="B2" i="9"/>
  <c r="C2" i="10"/>
  <c r="H14" i="6"/>
  <c r="E3" i="8" s="1"/>
  <c r="H12" i="6"/>
  <c r="F19" i="6"/>
  <c r="F11" i="6"/>
  <c r="E18" i="6"/>
  <c r="E10" i="6"/>
  <c r="G19" i="6"/>
  <c r="G11" i="6"/>
  <c r="F18" i="6"/>
  <c r="F10" i="6"/>
  <c r="H19" i="6"/>
  <c r="H11" i="6"/>
  <c r="E5" i="8" s="1"/>
  <c r="G18" i="6"/>
  <c r="G10" i="6"/>
  <c r="B21" i="6"/>
  <c r="B13" i="6"/>
  <c r="B11" i="6"/>
  <c r="F14" i="6"/>
  <c r="E21" i="6"/>
  <c r="E13" i="6"/>
  <c r="D20" i="6"/>
  <c r="D12" i="6"/>
  <c r="C19" i="6"/>
  <c r="C11" i="6"/>
  <c r="B18" i="6"/>
  <c r="B10" i="6"/>
  <c r="B19" i="6"/>
  <c r="G14" i="6"/>
  <c r="F21" i="6"/>
  <c r="F13" i="6"/>
  <c r="H13" i="6" s="1"/>
  <c r="E6" i="8" s="1"/>
  <c r="E20" i="6"/>
  <c r="E12" i="6"/>
  <c r="D19" i="6"/>
  <c r="D11" i="6"/>
  <c r="C18" i="6"/>
  <c r="C10" i="6"/>
  <c r="B6" i="6"/>
  <c r="E2" i="6"/>
  <c r="F2" i="6"/>
  <c r="G2" i="6"/>
  <c r="E4" i="8"/>
  <c r="B2" i="6"/>
  <c r="I2" i="6"/>
  <c r="C2" i="6"/>
  <c r="B2" i="8"/>
  <c r="D2" i="8"/>
  <c r="B10" i="8"/>
  <c r="B9" i="8"/>
  <c r="B16" i="8"/>
  <c r="B8" i="8"/>
  <c r="B15" i="8"/>
  <c r="B7" i="8"/>
  <c r="G2" i="10" l="1"/>
  <c r="G11" i="10"/>
  <c r="G6" i="10"/>
  <c r="H10" i="6"/>
  <c r="E7" i="8" s="1"/>
  <c r="H2" i="6"/>
  <c r="E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<sst xmlns="http://schemas.openxmlformats.org/spreadsheetml/2006/main" count="243" uniqueCount="95">
  <si>
    <t>Kode_Barang</t>
  </si>
  <si>
    <t>Nama_Barang</t>
  </si>
  <si>
    <t>Kategori</t>
  </si>
  <si>
    <t>Satuan_Dasar</t>
  </si>
  <si>
    <t>Stok_Minimum</t>
  </si>
  <si>
    <t>Status</t>
  </si>
  <si>
    <t>Satuan</t>
  </si>
  <si>
    <t>Aktif</t>
  </si>
  <si>
    <t>Non-Aktif</t>
  </si>
  <si>
    <t>Satuan_Jual</t>
  </si>
  <si>
    <t>Konversi_ke_PCS</t>
  </si>
  <si>
    <t>Harga_Jual</t>
  </si>
  <si>
    <t>Tanggal</t>
  </si>
  <si>
    <t>No_Dokumen</t>
  </si>
  <si>
    <t>Satuan_Masuk</t>
  </si>
  <si>
    <t>Qty_Masuk</t>
  </si>
  <si>
    <t>Total_PCS</t>
  </si>
  <si>
    <t>Harga_Beli_per_Satuan</t>
  </si>
  <si>
    <t>Total_Nilai_Pembelian</t>
  </si>
  <si>
    <t>Supplier</t>
  </si>
  <si>
    <t>Keterangan</t>
  </si>
  <si>
    <t>No_Transaksi</t>
  </si>
  <si>
    <t>Qty_Jual</t>
  </si>
  <si>
    <t>Harga_Jual_per_Satuan</t>
  </si>
  <si>
    <t>Total_Penjualan</t>
  </si>
  <si>
    <t>Metode_Pembayaran</t>
  </si>
  <si>
    <t>Jenis_Transaksi</t>
  </si>
  <si>
    <t>Ref_Dokumen</t>
  </si>
  <si>
    <t>Qty_PCS</t>
  </si>
  <si>
    <t>Arah_Stok</t>
  </si>
  <si>
    <t>Mutasi_PCS</t>
  </si>
  <si>
    <t>HPP_PCS</t>
  </si>
  <si>
    <t>Stok_Akhir_PCS</t>
  </si>
  <si>
    <t>Status_Stok</t>
  </si>
  <si>
    <t>Qty_Terjual_PCS</t>
  </si>
  <si>
    <t>Total_HPP</t>
  </si>
  <si>
    <t>Laba_Kotor</t>
  </si>
  <si>
    <t>Kolom1</t>
  </si>
  <si>
    <t>BR01</t>
  </si>
  <si>
    <t>Telur</t>
  </si>
  <si>
    <t>Master Barang</t>
  </si>
  <si>
    <t>Makanan</t>
  </si>
  <si>
    <t>Minuman</t>
  </si>
  <si>
    <t>Snack</t>
  </si>
  <si>
    <t>Miras</t>
  </si>
  <si>
    <t>Etc</t>
  </si>
  <si>
    <t>PCS</t>
  </si>
  <si>
    <t>BR02</t>
  </si>
  <si>
    <t>Gula</t>
  </si>
  <si>
    <t>BR03</t>
  </si>
  <si>
    <t>Beras</t>
  </si>
  <si>
    <t>Kg</t>
  </si>
  <si>
    <t>BR04</t>
  </si>
  <si>
    <t>Minyak</t>
  </si>
  <si>
    <t>Liter</t>
  </si>
  <si>
    <t>BR05</t>
  </si>
  <si>
    <t>Kopi</t>
  </si>
  <si>
    <t>Gram</t>
  </si>
  <si>
    <t>BR06</t>
  </si>
  <si>
    <t>Teh</t>
  </si>
  <si>
    <t>Karung</t>
  </si>
  <si>
    <t>Dus</t>
  </si>
  <si>
    <t>Rak</t>
  </si>
  <si>
    <t>Renteng</t>
  </si>
  <si>
    <t>BM01</t>
  </si>
  <si>
    <t>Ahmad</t>
  </si>
  <si>
    <t>BM02</t>
  </si>
  <si>
    <t>BM03</t>
  </si>
  <si>
    <t>BM04</t>
  </si>
  <si>
    <t>BM05</t>
  </si>
  <si>
    <t>BM06</t>
  </si>
  <si>
    <t>BM07</t>
  </si>
  <si>
    <t>BM08</t>
  </si>
  <si>
    <t>BM09</t>
  </si>
  <si>
    <t>BM10</t>
  </si>
  <si>
    <t>BM11</t>
  </si>
  <si>
    <t>BM12</t>
  </si>
  <si>
    <t>BM13</t>
  </si>
  <si>
    <t>BM14</t>
  </si>
  <si>
    <t>BM15</t>
  </si>
  <si>
    <t>PJ01</t>
  </si>
  <si>
    <t>PJ02</t>
  </si>
  <si>
    <t>PJ03</t>
  </si>
  <si>
    <t>PJ04</t>
  </si>
  <si>
    <t>PJ05</t>
  </si>
  <si>
    <t>PJ06</t>
  </si>
  <si>
    <t>PJ07</t>
  </si>
  <si>
    <t>PJ08</t>
  </si>
  <si>
    <t>PJ09</t>
  </si>
  <si>
    <t>PJ10</t>
  </si>
  <si>
    <t>Total_Qty_Masuk</t>
  </si>
  <si>
    <t>Total_Nilai_Masuk</t>
  </si>
  <si>
    <t>HPP_Rata2</t>
  </si>
  <si>
    <t>Stok_Akhir</t>
  </si>
  <si>
    <t>HPP_Aktif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</si>
</sst>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&quot;Rp&quot;#,##0.00"/>
  </numFmts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0" fillId="0" borderId="2" xfId="0" applyBorder="1"/>
    <xf numFmtId="14" fontId="0" fillId="0" borderId="0" xfId="0" applyNumberFormat="1"/>
    <xf numFmtId="16" fontId="0" fillId="0" borderId="0" xfId="0" applyNumberFormat="1" applyAlignment="1">
      <alignment vertical="center" wrapText="1"/>
    </xf>
    <xf numFmtId="16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3" xfId="0" applyFont="1" applyBorder="1"/>
    <xf numFmtId="0" fontId="0" fillId="0" borderId="5" xfId="0" applyFont="1" applyBorder="1"/>
    <xf numFmtId="165" fontId="0" fillId="0" borderId="0" xfId="0" applyNumberFormat="1"/>
    <xf numFmtId="165" fontId="0" fillId="0" borderId="3" xfId="0" applyNumberFormat="1" applyFont="1" applyBorder="1"/>
    <xf numFmtId="165" fontId="0" fillId="0" borderId="4" xfId="0" applyNumberFormat="1" applyFont="1" applyBorder="1"/>
  </cellXfs>
  <cellStyles count="1">
    <cellStyle name="Normal" xfId="0" builtinId="0"/>
  </cellStyles>
  <dxfs count="18">
    <dxf>
      <numFmt numFmtId="165" formatCode="&quot;Rp&quot;#,##0.00"/>
    </dxf>
    <dxf>
      <numFmt numFmtId="165" formatCode="&quot;Rp&quot;#,##0.00"/>
    </dxf>
    <dxf>
      <numFmt numFmtId="165" formatCode="&quot;Rp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minor"/>
      </font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&quot;Rp&quot;#,##0"/>
    </dxf>
    <dxf>
      <numFmt numFmtId="164" formatCode="&quot;Rp&quot;#,##0"/>
    </dxf>
    <dxf>
      <numFmt numFmtId="19" formatCode="dd/mm/yyyy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0D2D4-AD5F-46D0-921E-44176B60A3E7}" name="Tabel1" displayName="Tabel1" ref="A1:F7" totalsRowShown="0">
  <autoFilter ref="A1:F7" xr:uid="{DE50D2D4-AD5F-46D0-921E-44176B60A3E7}"/>
  <tableColumns count="6">
    <tableColumn id="1" xr3:uid="{B002829A-2F0F-4B33-A7B0-420F7A5CAF46}" name="Kode_Barang"/>
    <tableColumn id="2" xr3:uid="{B4F6351E-370E-4374-85B2-0A04945C5DE9}" name="Nama_Barang"/>
    <tableColumn id="3" xr3:uid="{DE8DB2CE-B194-49E0-AE18-9216DF6B05D5}" name="Kategori"/>
    <tableColumn id="4" xr3:uid="{0D5CA4B7-73FA-4781-A6B2-53E351D1FE69}" name="Satuan_Dasar"/>
    <tableColumn id="5" xr3:uid="{6BF90E2F-8465-4841-97E3-E5E870EF42CF}" name="Stok_Minimum"/>
    <tableColumn id="6" xr3:uid="{43D142F6-42B1-4EC2-981F-6E996E50B317}" name="Statu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9474B4-7A89-4A5B-B4DC-B1C8F8CB7236}" name="Tabel4" displayName="Tabel4" ref="A1:F17" totalsRowShown="0">
  <autoFilter ref="A1:F17" xr:uid="{2F9474B4-7A89-4A5B-B4DC-B1C8F8CB7236}"/>
  <tableColumns count="6">
    <tableColumn id="1" xr3:uid="{8D5DCCF6-ABC8-418F-A412-C20E65288F30}" name="Kode_Barang"/>
    <tableColumn id="2" xr3:uid="{5B25AA10-955E-4504-930C-09B03917E2E0}" name="Nama_Barang"/>
    <tableColumn id="3" xr3:uid="{4B25A83B-E940-4CB4-A1DE-51704FD1312A}" name="Satuan_Jual"/>
    <tableColumn id="4" xr3:uid="{BD9C9FAE-DBC5-4777-8C2F-4A8E31032C44}" name="Konversi_ke_PCS" dataDxfId="17"/>
    <tableColumn id="5" xr3:uid="{117DC549-7C4F-4CF2-8302-30C48A898116}" name="Harga_Jual"/>
    <tableColumn id="6" xr3:uid="{FC34A487-A91E-40FC-A670-C9824D54D14E}" name="Statu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941356-82D2-44C6-B15C-6A75ECD18430}" name="Tabel2" displayName="Tabel2" ref="A1:L16" totalsRowShown="0">
  <autoFilter ref="A1:L16" xr:uid="{4E941356-82D2-44C6-B15C-6A75ECD18430}"/>
  <tableColumns count="12">
    <tableColumn id="1" xr3:uid="{83DE9F71-E358-4C45-A15B-E791BE9A443F}" name="Tanggal" dataDxfId="16"/>
    <tableColumn id="2" xr3:uid="{89A816D7-A2DE-400C-851B-7FCD00ACCE65}" name="No_Dokumen"/>
    <tableColumn id="3" xr3:uid="{34D14EFF-890F-4748-93DA-015352845E10}" name="Kode_Barang"/>
    <tableColumn id="4" xr3:uid="{627EB29B-8864-41B3-9B0A-D14FEEA2446E}" name="Nama_Barang">
      <calculatedColumnFormula>IF(
 C2="",
 "",
 _xlfn.XLOOKUP(
   C2,
   Master_Barang!A:A,
   Master_Barang!B:B
 )
)</calculatedColumnFormula>
    </tableColumn>
    <tableColumn id="5" xr3:uid="{9ED31B1A-E994-4128-9C35-4E86D02C4C81}" name="Satuan_Masuk"/>
    <tableColumn id="6" xr3:uid="{225CE0FA-6CF7-495E-9801-49F934D1CD19}" name="Qty_Masuk"/>
    <tableColumn id="7" xr3:uid="{B44E51B0-949A-4AC9-97AA-7AB0BB0271D7}" name="Konversi_ke_PCS">
      <calculatedColumnFormula array="1">_xlfn.XLOOKUP(
  1,
  (Master_Konversi_Satuan!A:A=C2)*
  (Master_Konversi_Satuan!C:C=E2),
  Master_Konversi_Satuan!D:D
)</calculatedColumnFormula>
    </tableColumn>
    <tableColumn id="8" xr3:uid="{A4369ECB-5D9F-4F69-8EA4-AB073634DD1B}" name="Total_PCS">
      <calculatedColumnFormula>Tabel2[[#This Row],[Qty_Masuk]]*Tabel2[[#This Row],[Konversi_ke_PCS]]</calculatedColumnFormula>
    </tableColumn>
    <tableColumn id="9" xr3:uid="{99E2ED77-A6AE-4350-AA79-5D8C0ECE98E2}" name="Harga_Beli_per_Satuan" dataDxfId="15"/>
    <tableColumn id="10" xr3:uid="{8AA00291-07EA-4C4C-AD9B-760FFA959608}" name="Total_Nilai_Pembelian" dataDxfId="14">
      <calculatedColumnFormula>Tabel2[[#This Row],[Qty_Masuk]]*Tabel2[[#This Row],[Harga_Beli_per_Satuan]]</calculatedColumnFormula>
    </tableColumn>
    <tableColumn id="11" xr3:uid="{8BCA4901-ABE8-4556-87EB-4EFA3CC3FABE}" name="Supplier"/>
    <tableColumn id="12" xr3:uid="{9BB45B0F-C568-402F-9FA9-1D7A55EC45F3}" name="Keteranga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A378E8-3820-4C55-B9C0-2B52F90C89E5}" name="Tabel5" displayName="Tabel5" ref="A1:I21" totalsRowShown="0">
  <autoFilter ref="A1:I21" xr:uid="{CAA378E8-3820-4C55-B9C0-2B52F90C89E5}"/>
  <tableColumns count="9">
    <tableColumn id="1" xr3:uid="{89403FDB-88DD-4FF3-A0FB-3EB479DC374F}" name="Tanggal" dataDxfId="13">
      <calculatedColumnFormula>IF(Barang_Masuk!A2="","",Barang_Masuk!A2)</calculatedColumnFormula>
    </tableColumn>
    <tableColumn id="2" xr3:uid="{93534352-35AE-42F4-AB3E-7225F485DCAC}" name="Jenis_Transaksi">
      <calculatedColumnFormula>IF(A2="","","MASUK")</calculatedColumnFormula>
    </tableColumn>
    <tableColumn id="3" xr3:uid="{B04DC7C1-48ED-4EA0-B240-26F512761DE6}" name="Ref_Dokumen">
      <calculatedColumnFormula>IF(A2="","",Barang_Masuk!B2)</calculatedColumnFormula>
    </tableColumn>
    <tableColumn id="4" xr3:uid="{244E4332-F770-454F-AC9F-65128DC97071}" name="Kode_Barang">
      <calculatedColumnFormula>IF(A2="","",Barang_Masuk!C2)</calculatedColumnFormula>
    </tableColumn>
    <tableColumn id="5" xr3:uid="{2566A497-481F-4075-AB7A-CFB3539123F1}" name="Nama_Barang">
      <calculatedColumnFormula>IF(A2="","",Barang_Masuk!D2)</calculatedColumnFormula>
    </tableColumn>
    <tableColumn id="6" xr3:uid="{516221C3-9357-470E-B31C-F37AF3A488AF}" name="Qty_PCS">
      <calculatedColumnFormula>IF(A2="","",Barang_Masuk!H2)</calculatedColumnFormula>
    </tableColumn>
    <tableColumn id="7" xr3:uid="{57ECBA63-54D6-42E4-9BD4-A5E6ED7ED271}" name="Arah_Stok">
      <calculatedColumnFormula>IF(A2="","",1)</calculatedColumnFormula>
    </tableColumn>
    <tableColumn id="8" xr3:uid="{D4EFEF4A-166D-4AFB-8408-92434A08CF7B}" name="Mutasi_PCS">
      <calculatedColumnFormula>IF(A2="","",F2*G2)</calculatedColumnFormula>
    </tableColumn>
    <tableColumn id="9" xr3:uid="{713AACE9-E9F9-4E15-A027-8922804F249A}" name="Keterangan">
      <calculatedColumnFormula>IF(A2="","",Barang_Masuk!L2)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E3CFD9-F30D-4420-9F4A-BB279EEB5DCE}" name="Tabel57" displayName="Tabel57" ref="K1:S17" totalsRowShown="0">
  <autoFilter ref="K1:S17" xr:uid="{74E3CFD9-F30D-4420-9F4A-BB279EEB5DCE}"/>
  <tableColumns count="9">
    <tableColumn id="1" xr3:uid="{09D2F174-0144-4BC4-A108-D71225497FC4}" name="Tanggal" dataDxfId="12">
      <calculatedColumnFormula>IF(Penjualan!A2="","",Penjualan!A2)</calculatedColumnFormula>
    </tableColumn>
    <tableColumn id="2" xr3:uid="{B5138D90-63CB-4536-BF33-583B9E9FC17A}" name="Jenis_Transaksi">
      <calculatedColumnFormula>IF(K2="","","KELUAR")</calculatedColumnFormula>
    </tableColumn>
    <tableColumn id="3" xr3:uid="{4B611BF3-D3B6-4C2F-B6D9-0C53952268B9}" name="Ref_Dokumen">
      <calculatedColumnFormula>IF(K2="","",Penjualan!B2)</calculatedColumnFormula>
    </tableColumn>
    <tableColumn id="4" xr3:uid="{150B8F98-DD51-4008-9393-E3F4661827BA}" name="Kode_Barang">
      <calculatedColumnFormula>IF(K2="","",Penjualan!C2)</calculatedColumnFormula>
    </tableColumn>
    <tableColumn id="5" xr3:uid="{83315188-9457-492D-A7EC-F429642913D1}" name="Nama_Barang">
      <calculatedColumnFormula>IF(K2="","",Penjualan!D2)</calculatedColumnFormula>
    </tableColumn>
    <tableColumn id="6" xr3:uid="{083FF2BD-CD8B-4DC3-994F-F5246688F834}" name="Qty_PCS">
      <calculatedColumnFormula>IF(K2="","",Penjualan!H2)</calculatedColumnFormula>
    </tableColumn>
    <tableColumn id="7" xr3:uid="{F9EDD7AC-C74C-4C47-897D-67BD17F6A19B}" name="Arah_Stok">
      <calculatedColumnFormula>IF(K2="","",-1)</calculatedColumnFormula>
    </tableColumn>
    <tableColumn id="8" xr3:uid="{69F9837D-1C7B-4A28-A1E3-1EF2FF457138}" name="Mutasi_PCS">
      <calculatedColumnFormula>IF(K2="","",P2*Q2)</calculatedColumnFormula>
    </tableColumn>
    <tableColumn id="9" xr3:uid="{7B62AE5E-C54C-403F-861E-5BD8C13CD87F}" name="Keterangan">
      <calculatedColumnFormula>IF(K2="","",Penjualan!M2)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BBE59E-A71E-4267-8887-C1AE752F1A8D}" name="Tabel3" displayName="Tabel3" ref="A1:M11" totalsRowShown="0">
  <autoFilter ref="A1:M11" xr:uid="{C9BBE59E-A71E-4267-8887-C1AE752F1A8D}"/>
  <tableColumns count="13">
    <tableColumn id="1" xr3:uid="{4FD1A5FC-60BC-47A1-B3AF-45A6FC225CEA}" name="Tanggal" dataDxfId="11"/>
    <tableColumn id="2" xr3:uid="{A2B0BEF8-7CCB-40D7-8994-020A737E6B0F}" name="No_Transaksi"/>
    <tableColumn id="3" xr3:uid="{69756281-8120-4D2D-8FD7-977996561B22}" name="Kode_Barang"/>
    <tableColumn id="4" xr3:uid="{B93E1FAD-06FD-4DD2-BC67-BCC641AC21FD}" name="Nama_Barang">
      <calculatedColumnFormula>IF(
 C2="",
 "",
 _xlfn.XLOOKUP(
   C2,
   Master_Barang!A:A,
   Master_Barang!B:B
 )
)</calculatedColumnFormula>
    </tableColumn>
    <tableColumn id="5" xr3:uid="{279CDDFC-A0B3-4A88-9CB6-7E0C4FC2242E}" name="Satuan_Jual"/>
    <tableColumn id="6" xr3:uid="{209A9857-F5DC-4E21-A89A-71D6ECB2B58A}" name="Qty_Jual"/>
    <tableColumn id="7" xr3:uid="{25563A06-EAFF-474E-8DDF-3CA9DFFCD77F}" name="Konversi_ke_PCS">
      <calculatedColumnFormula array="1">_xlfn.XLOOKUP(
  1,
  (Master_Konversi_Satuan!A:A=C2)*
  (Master_Konversi_Satuan!C:C=E2),
  Master_Konversi_Satuan!D:D
)</calculatedColumnFormula>
    </tableColumn>
    <tableColumn id="8" xr3:uid="{32A263F0-7CA0-462D-8413-FAE32652AB57}" name="Total_PCS">
      <calculatedColumnFormula>Tabel3[[#This Row],[Qty_Jual]]*Tabel3[[#This Row],[Konversi_ke_PCS]]</calculatedColumnFormula>
    </tableColumn>
    <tableColumn id="9" xr3:uid="{58F064E8-6734-4FF2-B1CF-D3DCE4F0A5BA}" name="Harga_Jual_per_Satuan">
      <calculatedColumnFormula array="1">_xlfn.XLOOKUP(
  1,
  (Master_Konversi_Satuan!A:A=C2)*
  (Master_Konversi_Satuan!C:C=E2),
  Master_Konversi_Satuan!E:E
)</calculatedColumnFormula>
    </tableColumn>
    <tableColumn id="10" xr3:uid="{78DFDA71-3F51-4BF8-B137-EDE2B3C9F7BF}" name="Total_Penjualan">
      <calculatedColumnFormula>F2*I2</calculatedColumnFormula>
    </tableColumn>
    <tableColumn id="11" xr3:uid="{02566030-91D6-41F5-804D-2E844C213B04}" name="Metode_Pembayaran"/>
    <tableColumn id="12" xr3:uid="{36A7D572-5203-4ECB-B9D8-FFE9A0DC4D4C}" name="Status"/>
    <tableColumn id="13" xr3:uid="{D3327165-19CB-4521-ABF7-06EB92359D1A}" name="Keteranga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409DEF-88F8-496B-BAE2-8D219398BC21}" name="Tabel8" displayName="Tabel8" ref="A1:E16" totalsRowShown="0">
  <autoFilter ref="A1:E16" xr:uid="{0C409DEF-88F8-496B-BAE2-8D219398BC21}"/>
  <tableColumns count="5">
    <tableColumn id="1" xr3:uid="{E9C11BA8-EB68-4319-AD33-5B6B796CDF58}" name="Kode_Barang">
      <calculatedColumnFormula>IF(Master_Barang!A2="","",Master_Barang!A2)</calculatedColumnFormula>
    </tableColumn>
    <tableColumn id="2" xr3:uid="{22A92D35-3BAF-4E05-91F3-48129ACF6584}" name="Nama_Barang">
      <calculatedColumnFormula>IF(A2="","",_xlfn.XLOOKUP(A2,Master_Barang!A:A,Master_Barang!B:B))</calculatedColumnFormula>
    </tableColumn>
    <tableColumn id="3" xr3:uid="{491BB454-E503-4FFA-8F64-B1996C6E7297}" name="Stok_Akhir_PCS">
      <calculatedColumnFormula>IF(
 A2="",
 "",
 SUMIFS(Barang_Masuk!H:H,Barang_Masuk!C:C,A2)
 -
 SUMIFS(Penjualan!H:H,Penjualan!C:C,A2)
)</calculatedColumnFormula>
    </tableColumn>
    <tableColumn id="4" xr3:uid="{4F43DF1D-91EE-4600-A759-AD28A3208454}" name="Stok_Minimum">
      <calculatedColumnFormula>IF(A2="","",_xlfn.XLOOKUP(A2,Master_Barang!A:A,Master_Barang!E:E))</calculatedColumnFormula>
    </tableColumn>
    <tableColumn id="5" xr3:uid="{B1102081-2C9C-46E3-84EE-A199FCB8944B}" name="Status_Stok">
      <calculatedColumnFormula>IF(
 A2="",
 "",
 IF(
   C2&lt;=0,
   "HABIS",
   IF(C2&lt;=D2,"MENIPIS","AMAN")
 )
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E577BC-4CC4-4550-9F00-914B445260CB}" name="Tabel9" displayName="Tabel9" ref="A1:F19" totalsRowShown="0">
  <autoFilter ref="A1:F19" xr:uid="{34E577BC-4CC4-4550-9F00-914B445260CB}"/>
  <tableColumns count="6">
    <tableColumn id="1" xr3:uid="{72E97F2A-11AA-4793-9937-760CE8BBDD18}" name="Tanggal" dataDxfId="9"/>
    <tableColumn id="2" xr3:uid="{8ECE5FF6-92AE-47A3-8A3D-93BF13D916AC}" name="Kode_Barang">
      <calculatedColumnFormula>IF(A2="","",Penjualan!C2)</calculatedColumnFormula>
    </tableColumn>
    <tableColumn id="3" xr3:uid="{0445176A-515A-45AB-9373-972521A73F5E}" name="Nama_Barang">
      <calculatedColumnFormula>IF(A2="","",Penjualan!D2)</calculatedColumnFormula>
    </tableColumn>
    <tableColumn id="4" xr3:uid="{46C92DEA-74C2-448D-A68F-D29A9CA3C14F}" name="Qty_Terjual_PCS">
      <calculatedColumnFormula>IF(A2="","",Penjualan!H2)</calculatedColumnFormula>
    </tableColumn>
    <tableColumn id="5" xr3:uid="{76012E47-1355-4B92-A08C-6CFED681808A}" name="Total_Penjualan" dataDxfId="8">
      <calculatedColumnFormula>IF(A2="","",Penjualan!J2)</calculatedColumnFormula>
    </tableColumn>
    <tableColumn id="6" xr3:uid="{D5C8B0D8-7009-497C-85CD-FA1C7D3412FF}" name="Kolom1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9E2A3B-9BED-4612-89A2-7056FD728AD3}" name="Tabel11" displayName="Tabel11" ref="A1:I13" totalsRowShown="0">
  <autoFilter ref="A1:I13" xr:uid="{EA9E2A3B-9BED-4612-89A2-7056FD728AD3}"/>
  <tableColumns count="9">
    <tableColumn id="1" xr3:uid="{554C3FD1-2C4E-475D-9025-3E48075C63B1}" name="Tanggal" dataDxfId="10">
      <calculatedColumnFormula>IF(Penjualan!A2="","",Penjualan!A2)</calculatedColumnFormula>
    </tableColumn>
    <tableColumn id="2" xr3:uid="{3476D225-820B-4555-895B-455B2BD2E611}" name="Ref_Dokumen">
      <calculatedColumnFormula>IF(A2="","",Penjualan!B2)</calculatedColumnFormula>
    </tableColumn>
    <tableColumn id="3" xr3:uid="{2236BE87-BEB3-488E-B110-E03C0604604B}" name="Kode_Barang">
      <calculatedColumnFormula>IF(A2="","",Penjualan!C2)</calculatedColumnFormula>
    </tableColumn>
    <tableColumn id="4" xr3:uid="{5DA857B5-A338-4FB2-923D-5C10A52DD230}" name="Nama_Barang">
      <calculatedColumnFormula>IF(A2="","",Penjualan!D2)</calculatedColumnFormula>
    </tableColumn>
    <tableColumn id="5" xr3:uid="{BC2169D1-5BD2-437C-ACC7-50007ACA2324}" name="Qty_Terjual_PCS">
      <calculatedColumnFormula>IF(A2="","",Penjualan!H2)</calculatedColumnFormula>
    </tableColumn>
    <tableColumn id="6" xr3:uid="{C2C85445-2BC6-4095-8B0F-1FD2D509078E}" name="Total_Penjualan" dataDxfId="7">
      <calculatedColumnFormula>IF(A2="","",Penjualan!J2)</calculatedColumnFormula>
    </tableColumn>
    <tableColumn id="7" xr3:uid="{128F31D7-156A-4D90-8C4D-1B7799BD76F7}" name="HPP_PCS" dataDxfId="6">
      <calculatedColumnFormula>IF(
 A2="",
 "",
 _xlfn.XLOOKUP(
   B2,#REF!,#REF!
 )
)</calculatedColumnFormula>
    </tableColumn>
    <tableColumn id="8" xr3:uid="{F2B05BFE-8936-41AD-82CB-C321DC54AF53}" name="Total_HPP" dataDxfId="5">
      <calculatedColumnFormula>IF(A2="","",E2*G2)</calculatedColumnFormula>
    </tableColumn>
    <tableColumn id="9" xr3:uid="{B340645A-9E07-4378-9469-9ED37F8C7125}" name="Laba_Kotor" dataDxfId="4">
      <calculatedColumnFormula>IF(A2="","",F2-H2)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C81AC34-6FE1-44AD-AB42-233A00CA8983}" name="Tabel12" displayName="Tabel12" ref="A1:G7" totalsRowShown="0" headerRowDxfId="3">
  <autoFilter ref="A1:G7" xr:uid="{3C81AC34-6FE1-44AD-AB42-233A00CA8983}"/>
  <tableColumns count="7">
    <tableColumn id="1" xr3:uid="{B88E8E5C-CC6E-4411-9914-422BFD6ACB77}" name="Kode_Barang">
      <calculatedColumnFormula>IF(Master_Barang!A2="","",Master_Barang!A2)</calculatedColumnFormula>
    </tableColumn>
    <tableColumn id="2" xr3:uid="{E3AEF0A6-C2DA-45D8-AEC1-C7B1E9646063}" name="Nama_Barang">
      <calculatedColumnFormula>IF(A2="","",_xlfn.XLOOKUP(A2,Master_Barang!A:A,Master_Barang!B:B))</calculatedColumnFormula>
    </tableColumn>
    <tableColumn id="3" xr3:uid="{F412DE51-0314-418A-85D0-FD3021A97DE6}" name="Total_Qty_Masuk">
      <calculatedColumnFormula>IF(A2="","",SUMIFS(Barang_Masuk!H:H,Barang_Masuk!C:C,A2))</calculatedColumnFormula>
    </tableColumn>
    <tableColumn id="4" xr3:uid="{F4BC8485-4649-4B08-9CB2-94163DA1D4CE}" name="Total_Nilai_Masuk" dataDxfId="2">
      <calculatedColumnFormula>IF(A2="","",SUMIFS(Barang_Masuk!J:J,Barang_Masuk!C:C,A2))</calculatedColumnFormula>
    </tableColumn>
    <tableColumn id="5" xr3:uid="{2FFCED35-9644-48F8-955D-FA520995AA08}" name="HPP_Rata2" dataDxfId="1">
      <calculatedColumnFormula>IF(C2=0,0,D2/C2)</calculatedColumnFormula>
    </tableColumn>
    <tableColumn id="6" xr3:uid="{23CB8A98-5592-4610-860E-46621BD78E64}" name="Stok_Akhir">
      <calculatedColumnFormula>IF(A2="","",_xlfn.XLOOKUP(A2,Laporan_Stok!A:A,Laporan_Stok!C:C))</calculatedColumnFormula>
    </tableColumn>
    <tableColumn id="7" xr3:uid="{5135427E-8486-4999-B456-6039F8D9BA90}" name="HPP_Aktif" dataDxfId="0">
      <calculatedColumnFormula>IF(F2&lt;=0,0,E2)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5CE6-AD37-4EC1-9FD6-E198FE5C5D64}">
  <dimension ref="A1:F7"/>
  <sheetViews>
    <sheetView workbookViewId="0">
      <selection activeCell="D13" sqref="D13"/>
    </sheetView>
  </sheetViews>
  <sheetFormatPr defaultRowHeight="15" x14ac:dyDescent="0.25"/>
  <cols>
    <col min="1" max="1" width="14.7109375" customWidth="1"/>
    <col min="2" max="2" width="15.28515625" customWidth="1"/>
    <col min="3" max="3" width="10.5703125" customWidth="1"/>
    <col min="4" max="4" width="15" customWidth="1"/>
    <col min="5" max="5" width="16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38</v>
      </c>
      <c r="B2" t="s">
        <v>39</v>
      </c>
      <c r="C2" t="s">
        <v>41</v>
      </c>
      <c r="D2" t="s">
        <v>46</v>
      </c>
      <c r="E2">
        <v>50</v>
      </c>
      <c r="F2" t="s">
        <v>7</v>
      </c>
    </row>
    <row r="3" spans="1:6" x14ac:dyDescent="0.25">
      <c r="A3" t="s">
        <v>47</v>
      </c>
      <c r="B3" t="s">
        <v>48</v>
      </c>
      <c r="C3" t="s">
        <v>41</v>
      </c>
      <c r="D3" t="s">
        <v>46</v>
      </c>
      <c r="E3">
        <v>20</v>
      </c>
      <c r="F3" t="s">
        <v>7</v>
      </c>
    </row>
    <row r="4" spans="1:6" x14ac:dyDescent="0.25">
      <c r="A4" t="s">
        <v>49</v>
      </c>
      <c r="B4" t="s">
        <v>50</v>
      </c>
      <c r="C4" t="s">
        <v>41</v>
      </c>
      <c r="D4" t="s">
        <v>51</v>
      </c>
      <c r="E4">
        <v>100</v>
      </c>
      <c r="F4" t="s">
        <v>7</v>
      </c>
    </row>
    <row r="5" spans="1:6" x14ac:dyDescent="0.25">
      <c r="A5" t="s">
        <v>52</v>
      </c>
      <c r="B5" t="s">
        <v>53</v>
      </c>
      <c r="C5" t="s">
        <v>41</v>
      </c>
      <c r="D5" t="s">
        <v>54</v>
      </c>
      <c r="E5">
        <v>30</v>
      </c>
      <c r="F5" t="s">
        <v>7</v>
      </c>
    </row>
    <row r="6" spans="1:6" x14ac:dyDescent="0.25">
      <c r="A6" t="s">
        <v>55</v>
      </c>
      <c r="B6" t="s">
        <v>56</v>
      </c>
      <c r="C6" t="s">
        <v>41</v>
      </c>
      <c r="D6" t="s">
        <v>46</v>
      </c>
      <c r="E6">
        <v>40</v>
      </c>
      <c r="F6" t="s">
        <v>7</v>
      </c>
    </row>
    <row r="7" spans="1:6" x14ac:dyDescent="0.25">
      <c r="A7" t="s">
        <v>58</v>
      </c>
      <c r="B7" t="s">
        <v>59</v>
      </c>
      <c r="C7" t="s">
        <v>44</v>
      </c>
      <c r="D7" t="s">
        <v>46</v>
      </c>
      <c r="E7">
        <v>40</v>
      </c>
      <c r="F7" t="s">
        <v>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80D641E-E9B9-4323-90F7-3735F69D87B9}">
          <x14:formula1>
            <xm:f>Master_Dropdown!$A$3:$A$7</xm:f>
          </x14:formula1>
          <xm:sqref>C2:C7</xm:sqref>
        </x14:dataValidation>
        <x14:dataValidation type="list" allowBlank="1" showInputMessage="1" showErrorMessage="1" xr:uid="{BE6EA7A8-35D2-47B0-9BB3-7905EABC225B}">
          <x14:formula1>
            <xm:f>Master_Dropdown!$C$3:$C$4</xm:f>
          </x14:formula1>
          <xm:sqref>F2:F7</xm:sqref>
        </x14:dataValidation>
        <x14:dataValidation type="list" allowBlank="1" showInputMessage="1" showErrorMessage="1" xr:uid="{FA3B5E56-81FC-48C1-9A61-F4171D50FF5C}">
          <x14:formula1>
            <xm:f>Master_Dropdown!$B$3:$B$7</xm:f>
          </x14:formula1>
          <xm:sqref>D2:D7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746D-98B7-42F8-A3C5-DA501700F21D}">
  <dimension ref="A1:F17"/>
  <sheetViews>
    <sheetView workbookViewId="0">
      <selection activeCell="B22" sqref="B22"/>
    </sheetView>
  </sheetViews>
  <sheetFormatPr defaultRowHeight="15" x14ac:dyDescent="0.25"/>
  <cols>
    <col min="1" max="1" width="14.7109375" customWidth="1"/>
    <col min="2" max="2" width="15.28515625" customWidth="1"/>
    <col min="3" max="3" width="13.5703125" customWidth="1"/>
    <col min="4" max="4" width="18.28515625" customWidth="1"/>
    <col min="5" max="5" width="12.5703125" customWidth="1"/>
  </cols>
  <sheetData>
    <row r="1" spans="1:6" x14ac:dyDescent="0.25">
      <c r="A1" t="s">
        <v>0</v>
      </c>
      <c r="B1" t="s">
        <v>1</v>
      </c>
      <c r="C1" t="s">
        <v>9</v>
      </c>
      <c r="D1" s="2" t="s">
        <v>10</v>
      </c>
      <c r="E1" t="s">
        <v>11</v>
      </c>
      <c r="F1" t="s">
        <v>5</v>
      </c>
    </row>
    <row r="2" spans="1:6" x14ac:dyDescent="0.25">
      <c r="A2" s="1" t="s">
        <v>38</v>
      </c>
      <c r="B2" s="1" t="s">
        <v>39</v>
      </c>
      <c r="C2" s="1" t="s">
        <v>46</v>
      </c>
      <c r="D2" s="1">
        <v>1</v>
      </c>
      <c r="E2" s="5">
        <v>1700</v>
      </c>
    </row>
    <row r="3" spans="1:6" x14ac:dyDescent="0.25">
      <c r="A3" s="1" t="s">
        <v>38</v>
      </c>
      <c r="B3" s="1" t="s">
        <v>39</v>
      </c>
      <c r="C3" s="1" t="s">
        <v>62</v>
      </c>
      <c r="D3" s="1">
        <v>30</v>
      </c>
      <c r="E3" s="5">
        <v>45000</v>
      </c>
    </row>
    <row r="4" spans="1:6" x14ac:dyDescent="0.25">
      <c r="A4" s="1" t="s">
        <v>47</v>
      </c>
      <c r="B4" s="1" t="s">
        <v>48</v>
      </c>
      <c r="C4" s="1" t="s">
        <v>51</v>
      </c>
      <c r="D4" s="1">
        <v>1</v>
      </c>
      <c r="E4" s="5">
        <v>14000</v>
      </c>
    </row>
    <row r="5" spans="1:6" x14ac:dyDescent="0.25">
      <c r="A5" s="1" t="s">
        <v>47</v>
      </c>
      <c r="B5" s="1" t="s">
        <v>48</v>
      </c>
      <c r="C5" s="1" t="s">
        <v>60</v>
      </c>
      <c r="D5" s="1">
        <v>50</v>
      </c>
      <c r="E5" s="5">
        <v>680000</v>
      </c>
    </row>
    <row r="6" spans="1:6" x14ac:dyDescent="0.25">
      <c r="A6" s="1" t="s">
        <v>49</v>
      </c>
      <c r="B6" s="1" t="s">
        <v>50</v>
      </c>
      <c r="C6" s="1" t="s">
        <v>51</v>
      </c>
      <c r="D6" s="1">
        <v>1</v>
      </c>
      <c r="E6" s="5">
        <v>13000</v>
      </c>
    </row>
    <row r="7" spans="1:6" x14ac:dyDescent="0.25">
      <c r="A7" s="1" t="s">
        <v>49</v>
      </c>
      <c r="B7" s="1" t="s">
        <v>50</v>
      </c>
      <c r="C7" s="1" t="s">
        <v>60</v>
      </c>
      <c r="D7" s="1">
        <v>25</v>
      </c>
      <c r="E7" s="5">
        <v>310000</v>
      </c>
    </row>
    <row r="8" spans="1:6" x14ac:dyDescent="0.25">
      <c r="A8" s="1" t="s">
        <v>52</v>
      </c>
      <c r="B8" s="1" t="s">
        <v>53</v>
      </c>
      <c r="C8" s="1" t="s">
        <v>54</v>
      </c>
      <c r="D8" s="1">
        <v>1</v>
      </c>
      <c r="E8" s="5">
        <v>16000</v>
      </c>
    </row>
    <row r="9" spans="1:6" x14ac:dyDescent="0.25">
      <c r="A9" s="1" t="s">
        <v>52</v>
      </c>
      <c r="B9" s="1" t="s">
        <v>53</v>
      </c>
      <c r="C9" s="1" t="s">
        <v>61</v>
      </c>
      <c r="D9" s="1">
        <v>12</v>
      </c>
      <c r="E9" s="5">
        <v>185000</v>
      </c>
    </row>
    <row r="10" spans="1:6" x14ac:dyDescent="0.25">
      <c r="A10" s="1" t="s">
        <v>55</v>
      </c>
      <c r="B10" s="1" t="s">
        <v>56</v>
      </c>
      <c r="C10" s="1" t="s">
        <v>46</v>
      </c>
      <c r="D10" s="1">
        <v>1</v>
      </c>
      <c r="E10" s="5">
        <v>5000</v>
      </c>
    </row>
    <row r="11" spans="1:6" x14ac:dyDescent="0.25">
      <c r="A11" s="1" t="s">
        <v>55</v>
      </c>
      <c r="B11" s="1" t="s">
        <v>56</v>
      </c>
      <c r="C11" s="1" t="s">
        <v>63</v>
      </c>
      <c r="D11" s="1">
        <v>10</v>
      </c>
      <c r="E11" s="5">
        <v>45000</v>
      </c>
    </row>
    <row r="12" spans="1:6" x14ac:dyDescent="0.25">
      <c r="A12" s="1" t="s">
        <v>58</v>
      </c>
      <c r="B12" s="1" t="s">
        <v>59</v>
      </c>
      <c r="C12" s="1" t="s">
        <v>46</v>
      </c>
      <c r="D12" s="1">
        <v>1</v>
      </c>
      <c r="E12" s="5">
        <v>4000</v>
      </c>
    </row>
    <row r="13" spans="1:6" x14ac:dyDescent="0.25">
      <c r="A13" s="1" t="s">
        <v>58</v>
      </c>
      <c r="B13" s="1" t="s">
        <v>59</v>
      </c>
      <c r="C13" s="1" t="s">
        <v>63</v>
      </c>
      <c r="D13" s="1">
        <v>10</v>
      </c>
      <c r="E13">
        <v>37000</v>
      </c>
    </row>
    <row r="14" spans="1:6" x14ac:dyDescent="0.25">
      <c r="C14" s="1"/>
      <c r="D14" s="1"/>
    </row>
    <row r="15" spans="1:6" x14ac:dyDescent="0.25">
      <c r="C15" s="1"/>
      <c r="D15" s="1"/>
    </row>
    <row r="16" spans="1:6" x14ac:dyDescent="0.25">
      <c r="C16" s="1"/>
      <c r="D16" s="1"/>
    </row>
    <row r="17" spans="3:4" x14ac:dyDescent="0.25">
      <c r="C17" s="1"/>
      <c r="D17" s="1"/>
    </row>
  </sheetData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D19D20-D572-46F0-AFBB-1ECDB699E9F0}">
          <x14:formula1>
            <xm:f>Master_Dropdown!$B$3:$B$13</xm:f>
          </x14:formula1>
          <xm:sqref>C2:C17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0A68-400E-4154-A163-AEFF10293939}">
  <dimension ref="A1:L36"/>
  <sheetViews>
    <sheetView workbookViewId="0">
      <selection activeCell="A2" sqref="A2"/>
    </sheetView>
  </sheetViews>
  <sheetFormatPr defaultRowHeight="15" x14ac:dyDescent="0.25"/>
  <cols>
    <col min="1" max="1" width="10.7109375" style="7" bestFit="1" customWidth="1"/>
    <col min="2" max="2" width="15.28515625" customWidth="1"/>
    <col min="3" max="3" width="14.7109375" customWidth="1"/>
    <col min="4" max="4" width="15.28515625" customWidth="1"/>
    <col min="5" max="5" width="15.85546875" customWidth="1"/>
    <col min="6" max="6" width="13" customWidth="1"/>
    <col min="7" max="7" width="18.28515625" customWidth="1"/>
    <col min="8" max="8" width="11.85546875" customWidth="1"/>
    <col min="9" max="9" width="23.5703125" customWidth="1"/>
    <col min="10" max="10" width="23.28515625" customWidth="1"/>
    <col min="11" max="11" width="10.5703125" customWidth="1"/>
    <col min="12" max="12" width="13.28515625" customWidth="1"/>
  </cols>
  <sheetData>
    <row r="1" spans="1:12" x14ac:dyDescent="0.25">
      <c r="A1" s="7" t="s">
        <v>12</v>
      </c>
      <c r="B1" t="s">
        <v>13</v>
      </c>
      <c r="C1" t="s">
        <v>0</v>
      </c>
      <c r="D1" t="s">
        <v>1</v>
      </c>
      <c r="E1" t="s">
        <v>14</v>
      </c>
      <c r="F1" t="s">
        <v>15</v>
      </c>
      <c r="G1" t="s">
        <v>10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25">
      <c r="A2" s="7">
        <v>46023</v>
      </c>
      <c r="B2" t="s">
        <v>64</v>
      </c>
      <c r="C2" t="s">
        <v>38</v>
      </c>
      <c r="D2" t="str">
        <f>IF(
 C2="",
 "",
 _xlfn.XLOOKUP(
   C2,
   Master_Barang!A:A,
   Master_Barang!B:B
 )
)</f>
        <v>Telur</v>
      </c>
      <c r="E2" t="s">
        <v>62</v>
      </c>
      <c r="F2">
        <v>5</v>
      </c>
      <c r="G2" cm="1">
        <f t="array" ref="G2">_xlfn.XLOOKUP(
  1,
  (Master_Konversi_Satuan!A:A=C2)*
  (Master_Konversi_Satuan!C:C=E2),
  Master_Konversi_Satuan!D:D
)</f>
        <v>30</v>
      </c>
      <c r="H2">
        <f>Tabel2[[#This Row],[Qty_Masuk]]*Tabel2[[#This Row],[Konversi_ke_PCS]]</f>
        <v>150</v>
      </c>
      <c r="I2" s="9">
        <v>40000</v>
      </c>
      <c r="J2" s="9">
        <f>Tabel2[[#This Row],[Qty_Masuk]]*Tabel2[[#This Row],[Harga_Beli_per_Satuan]]</f>
        <v>200000</v>
      </c>
      <c r="K2" t="s">
        <v>65</v>
      </c>
    </row>
    <row r="3" spans="1:12" x14ac:dyDescent="0.25">
      <c r="A3" s="7">
        <v>46023</v>
      </c>
      <c r="B3" t="s">
        <v>66</v>
      </c>
      <c r="C3" t="s">
        <v>47</v>
      </c>
      <c r="D3" t="str">
        <f>IF(
 C3="",
 "",
 _xlfn.XLOOKUP(
   C3,
   Master_Barang!A:A,
   Master_Barang!B:B
 )
)</f>
        <v>Gula</v>
      </c>
      <c r="E3" t="s">
        <v>60</v>
      </c>
      <c r="F3">
        <v>1</v>
      </c>
      <c r="G3" cm="1">
        <f t="array" ref="G3">_xlfn.XLOOKUP(
  1,
  (Master_Konversi_Satuan!A:A=C3)*
  (Master_Konversi_Satuan!C:C=E3),
  Master_Konversi_Satuan!D:D
)</f>
        <v>50</v>
      </c>
      <c r="H3">
        <f>Tabel2[[#This Row],[Qty_Masuk]]*Tabel2[[#This Row],[Konversi_ke_PCS]]</f>
        <v>50</v>
      </c>
      <c r="I3" s="9">
        <v>600000</v>
      </c>
      <c r="J3" s="9">
        <f>Tabel2[[#This Row],[Qty_Masuk]]*Tabel2[[#This Row],[Harga_Beli_per_Satuan]]</f>
        <v>600000</v>
      </c>
    </row>
    <row r="4" spans="1:12" x14ac:dyDescent="0.25">
      <c r="A4" s="7">
        <v>46023</v>
      </c>
      <c r="B4" t="s">
        <v>67</v>
      </c>
      <c r="C4" t="s">
        <v>49</v>
      </c>
      <c r="D4" t="str">
        <f>IF(
 C4="",
 "",
 _xlfn.XLOOKUP(
   C4,
   Master_Barang!A:A,
   Master_Barang!B:B
 )
)</f>
        <v>Beras</v>
      </c>
      <c r="E4" t="s">
        <v>60</v>
      </c>
      <c r="F4">
        <v>3</v>
      </c>
      <c r="G4" cm="1">
        <f t="array" ref="G4">_xlfn.XLOOKUP(
  1,
  (Master_Konversi_Satuan!A:A=C4)*
  (Master_Konversi_Satuan!C:C=E4),
  Master_Konversi_Satuan!D:D
)</f>
        <v>25</v>
      </c>
      <c r="H4">
        <f>Tabel2[[#This Row],[Qty_Masuk]]*Tabel2[[#This Row],[Konversi_ke_PCS]]</f>
        <v>75</v>
      </c>
      <c r="I4" s="9">
        <v>240000</v>
      </c>
      <c r="J4" s="9">
        <f>Tabel2[[#This Row],[Qty_Masuk]]*Tabel2[[#This Row],[Harga_Beli_per_Satuan]]</f>
        <v>720000</v>
      </c>
    </row>
    <row r="5" spans="1:12" x14ac:dyDescent="0.25">
      <c r="A5" s="7">
        <v>46023</v>
      </c>
      <c r="B5" t="s">
        <v>68</v>
      </c>
      <c r="C5" t="s">
        <v>52</v>
      </c>
      <c r="D5" t="str">
        <f>IF(
 C5="",
 "",
 _xlfn.XLOOKUP(
   C5,
   Master_Barang!A:A,
   Master_Barang!B:B
 )
)</f>
        <v>Minyak</v>
      </c>
      <c r="E5" t="s">
        <v>61</v>
      </c>
      <c r="F5">
        <v>2</v>
      </c>
      <c r="G5" cm="1">
        <f t="array" ref="G5">_xlfn.XLOOKUP(
  1,
  (Master_Konversi_Satuan!A:A=C5)*
  (Master_Konversi_Satuan!C:C=E5),
  Master_Konversi_Satuan!D:D
)</f>
        <v>12</v>
      </c>
      <c r="H5">
        <f>Tabel2[[#This Row],[Qty_Masuk]]*Tabel2[[#This Row],[Konversi_ke_PCS]]</f>
        <v>24</v>
      </c>
      <c r="I5" s="9">
        <v>160000</v>
      </c>
      <c r="J5" s="9">
        <f>Tabel2[[#This Row],[Qty_Masuk]]*Tabel2[[#This Row],[Harga_Beli_per_Satuan]]</f>
        <v>320000</v>
      </c>
    </row>
    <row r="6" spans="1:12" x14ac:dyDescent="0.25">
      <c r="A6" s="7">
        <v>46023</v>
      </c>
      <c r="B6" t="s">
        <v>69</v>
      </c>
      <c r="C6" t="s">
        <v>55</v>
      </c>
      <c r="D6" t="str">
        <f>IF(
 C6="",
 "",
 _xlfn.XLOOKUP(
   C6,
   Master_Barang!A:A,
   Master_Barang!B:B
 )
)</f>
        <v>Kopi</v>
      </c>
      <c r="E6" t="s">
        <v>63</v>
      </c>
      <c r="F6">
        <v>5</v>
      </c>
      <c r="G6" cm="1">
        <f t="array" ref="G6">_xlfn.XLOOKUP(
  1,
  (Master_Konversi_Satuan!A:A=C6)*
  (Master_Konversi_Satuan!C:C=E6),
  Master_Konversi_Satuan!D:D
)</f>
        <v>10</v>
      </c>
      <c r="H6">
        <f>Tabel2[[#This Row],[Qty_Masuk]]*Tabel2[[#This Row],[Konversi_ke_PCS]]</f>
        <v>50</v>
      </c>
      <c r="I6" s="9">
        <v>40000</v>
      </c>
      <c r="J6" s="9">
        <f>Tabel2[[#This Row],[Qty_Masuk]]*Tabel2[[#This Row],[Harga_Beli_per_Satuan]]</f>
        <v>200000</v>
      </c>
    </row>
    <row r="7" spans="1:12" x14ac:dyDescent="0.25">
      <c r="A7" s="7">
        <v>46024</v>
      </c>
      <c r="B7" t="s">
        <v>70</v>
      </c>
      <c r="C7" t="s">
        <v>38</v>
      </c>
      <c r="D7" t="str">
        <f>IF(
 C7="",
 "",
 _xlfn.XLOOKUP(
   C7,
   Master_Barang!A:A,
   Master_Barang!B:B
 )
)</f>
        <v>Telur</v>
      </c>
      <c r="E7" t="s">
        <v>62</v>
      </c>
      <c r="F7">
        <v>1</v>
      </c>
      <c r="G7" cm="1">
        <f t="array" ref="G7">_xlfn.XLOOKUP(
  1,
  (Master_Konversi_Satuan!A:A=C7)*
  (Master_Konversi_Satuan!C:C=E7),
  Master_Konversi_Satuan!D:D
)</f>
        <v>30</v>
      </c>
      <c r="H7">
        <f>Tabel2[[#This Row],[Qty_Masuk]]*Tabel2[[#This Row],[Konversi_ke_PCS]]</f>
        <v>30</v>
      </c>
      <c r="I7" s="9">
        <v>42000</v>
      </c>
      <c r="J7" s="9">
        <f>Tabel2[[#This Row],[Qty_Masuk]]*Tabel2[[#This Row],[Harga_Beli_per_Satuan]]</f>
        <v>42000</v>
      </c>
    </row>
    <row r="8" spans="1:12" x14ac:dyDescent="0.25">
      <c r="A8" s="7">
        <v>46024</v>
      </c>
      <c r="B8" t="s">
        <v>71</v>
      </c>
      <c r="C8" t="s">
        <v>47</v>
      </c>
      <c r="D8" t="str">
        <f>IF(
 C8="",
 "",
 _xlfn.XLOOKUP(
   C8,
   Master_Barang!A:A,
   Master_Barang!B:B
 )
)</f>
        <v>Gula</v>
      </c>
      <c r="E8" t="s">
        <v>60</v>
      </c>
      <c r="F8">
        <v>0.5</v>
      </c>
      <c r="G8" cm="1">
        <f t="array" ref="G8">_xlfn.XLOOKUP(
  1,
  (Master_Konversi_Satuan!A:A=C8)*
  (Master_Konversi_Satuan!C:C=E8),
  Master_Konversi_Satuan!D:D
)</f>
        <v>50</v>
      </c>
      <c r="H8">
        <f>Tabel2[[#This Row],[Qty_Masuk]]*Tabel2[[#This Row],[Konversi_ke_PCS]]</f>
        <v>25</v>
      </c>
      <c r="I8" s="9">
        <v>320000</v>
      </c>
      <c r="J8" s="9">
        <f>Tabel2[[#This Row],[Qty_Masuk]]*Tabel2[[#This Row],[Harga_Beli_per_Satuan]]</f>
        <v>160000</v>
      </c>
    </row>
    <row r="9" spans="1:12" x14ac:dyDescent="0.25">
      <c r="A9" s="7">
        <v>46024</v>
      </c>
      <c r="B9" t="s">
        <v>72</v>
      </c>
      <c r="C9" t="s">
        <v>49</v>
      </c>
      <c r="D9" t="str">
        <f>IF(
 C9="",
 "",
 _xlfn.XLOOKUP(
   C9,
   Master_Barang!A:A,
   Master_Barang!B:B
 )
)</f>
        <v>Beras</v>
      </c>
      <c r="E9" t="s">
        <v>60</v>
      </c>
      <c r="F9">
        <v>2</v>
      </c>
      <c r="G9" cm="1">
        <f t="array" ref="G9">_xlfn.XLOOKUP(
  1,
  (Master_Konversi_Satuan!A:A=C9)*
  (Master_Konversi_Satuan!C:C=E9),
  Master_Konversi_Satuan!D:D
)</f>
        <v>25</v>
      </c>
      <c r="H9">
        <f>Tabel2[[#This Row],[Qty_Masuk]]*Tabel2[[#This Row],[Konversi_ke_PCS]]</f>
        <v>50</v>
      </c>
      <c r="I9" s="9">
        <v>250000</v>
      </c>
      <c r="J9" s="9">
        <f>Tabel2[[#This Row],[Qty_Masuk]]*Tabel2[[#This Row],[Harga_Beli_per_Satuan]]</f>
        <v>500000</v>
      </c>
    </row>
    <row r="10" spans="1:12" x14ac:dyDescent="0.25">
      <c r="A10" s="7">
        <v>46024</v>
      </c>
      <c r="B10" t="s">
        <v>73</v>
      </c>
      <c r="C10" t="s">
        <v>58</v>
      </c>
      <c r="D10" t="str">
        <f>IF(
 C10="",
 "",
 _xlfn.XLOOKUP(
   C10,
   Master_Barang!A:A,
   Master_Barang!B:B
 )
)</f>
        <v>Teh</v>
      </c>
      <c r="E10" t="s">
        <v>63</v>
      </c>
      <c r="F10">
        <v>6</v>
      </c>
      <c r="G10" cm="1">
        <f t="array" ref="G10">_xlfn.XLOOKUP(
  1,
  (Master_Konversi_Satuan!A:A=C10)*
  (Master_Konversi_Satuan!C:C=E10),
  Master_Konversi_Satuan!D:D
)</f>
        <v>10</v>
      </c>
      <c r="H10">
        <f>Tabel2[[#This Row],[Qty_Masuk]]*Tabel2[[#This Row],[Konversi_ke_PCS]]</f>
        <v>60</v>
      </c>
      <c r="I10" s="9">
        <v>20000</v>
      </c>
      <c r="J10" s="9">
        <f>Tabel2[[#This Row],[Qty_Masuk]]*Tabel2[[#This Row],[Harga_Beli_per_Satuan]]</f>
        <v>120000</v>
      </c>
    </row>
    <row r="11" spans="1:12" x14ac:dyDescent="0.25">
      <c r="A11" s="7">
        <v>46024</v>
      </c>
      <c r="B11" t="s">
        <v>74</v>
      </c>
      <c r="C11" t="s">
        <v>52</v>
      </c>
      <c r="D11" t="str">
        <f>IF(
 C11="",
 "",
 _xlfn.XLOOKUP(
   C11,
   Master_Barang!A:A,
   Master_Barang!B:B
 )
)</f>
        <v>Minyak</v>
      </c>
      <c r="E11" t="s">
        <v>61</v>
      </c>
      <c r="F11">
        <v>0.5</v>
      </c>
      <c r="G11" cm="1">
        <f t="array" ref="G11">_xlfn.XLOOKUP(
  1,
  (Master_Konversi_Satuan!A:A=C11)*
  (Master_Konversi_Satuan!C:C=E11),
  Master_Konversi_Satuan!D:D
)</f>
        <v>12</v>
      </c>
      <c r="H11">
        <f>Tabel2[[#This Row],[Qty_Masuk]]*Tabel2[[#This Row],[Konversi_ke_PCS]]</f>
        <v>6</v>
      </c>
      <c r="I11" s="9">
        <v>180000</v>
      </c>
      <c r="J11" s="9">
        <f>Tabel2[[#This Row],[Qty_Masuk]]*Tabel2[[#This Row],[Harga_Beli_per_Satuan]]</f>
        <v>90000</v>
      </c>
    </row>
    <row r="12" spans="1:12" x14ac:dyDescent="0.25">
      <c r="A12" s="7">
        <v>46025</v>
      </c>
      <c r="B12" t="s">
        <v>75</v>
      </c>
      <c r="C12" t="s">
        <v>38</v>
      </c>
      <c r="D12" t="str">
        <f>IF(
 C12="",
 "",
 _xlfn.XLOOKUP(
   C12,
   Master_Barang!A:A,
   Master_Barang!B:B
 )
)</f>
        <v>Telur</v>
      </c>
      <c r="E12" t="s">
        <v>62</v>
      </c>
      <c r="F12">
        <v>2</v>
      </c>
      <c r="G12" cm="1">
        <f t="array" ref="G12">_xlfn.XLOOKUP(
  1,
  (Master_Konversi_Satuan!A:A=C12)*
  (Master_Konversi_Satuan!C:C=E12),
  Master_Konversi_Satuan!D:D
)</f>
        <v>30</v>
      </c>
      <c r="H12">
        <f>Tabel2[[#This Row],[Qty_Masuk]]*Tabel2[[#This Row],[Konversi_ke_PCS]]</f>
        <v>60</v>
      </c>
      <c r="I12" s="9">
        <v>55000</v>
      </c>
      <c r="J12" s="9">
        <f>Tabel2[[#This Row],[Qty_Masuk]]*Tabel2[[#This Row],[Harga_Beli_per_Satuan]]</f>
        <v>110000</v>
      </c>
    </row>
    <row r="13" spans="1:12" x14ac:dyDescent="0.25">
      <c r="A13" s="7">
        <v>46025</v>
      </c>
      <c r="B13" t="s">
        <v>76</v>
      </c>
      <c r="C13" t="s">
        <v>55</v>
      </c>
      <c r="D13" t="str">
        <f>IF(
 C13="",
 "",
 _xlfn.XLOOKUP(
   C13,
   Master_Barang!A:A,
   Master_Barang!B:B
 )
)</f>
        <v>Kopi</v>
      </c>
      <c r="E13" t="s">
        <v>63</v>
      </c>
      <c r="F13">
        <v>5</v>
      </c>
      <c r="G13" cm="1">
        <f t="array" ref="G13">_xlfn.XLOOKUP(
  1,
  (Master_Konversi_Satuan!A:A=C13)*
  (Master_Konversi_Satuan!C:C=E13),
  Master_Konversi_Satuan!D:D
)</f>
        <v>10</v>
      </c>
      <c r="H13">
        <f>Tabel2[[#This Row],[Qty_Masuk]]*Tabel2[[#This Row],[Konversi_ke_PCS]]</f>
        <v>50</v>
      </c>
      <c r="I13" s="9">
        <v>38000</v>
      </c>
      <c r="J13" s="9">
        <f>Tabel2[[#This Row],[Qty_Masuk]]*Tabel2[[#This Row],[Harga_Beli_per_Satuan]]</f>
        <v>190000</v>
      </c>
    </row>
    <row r="14" spans="1:12" x14ac:dyDescent="0.25">
      <c r="A14" s="7">
        <v>46025</v>
      </c>
      <c r="B14" t="s">
        <v>77</v>
      </c>
      <c r="C14" t="s">
        <v>47</v>
      </c>
      <c r="D14" t="str">
        <f>IF(
 C14="",
 "",
 _xlfn.XLOOKUP(
   C14,
   Master_Barang!A:A,
   Master_Barang!B:B
 )
)</f>
        <v>Gula</v>
      </c>
      <c r="E14" t="s">
        <v>51</v>
      </c>
      <c r="F14">
        <v>15</v>
      </c>
      <c r="G14" cm="1">
        <f t="array" ref="G14">_xlfn.XLOOKUP(
  1,
  (Master_Konversi_Satuan!A:A=C14)*
  (Master_Konversi_Satuan!C:C=E14),
  Master_Konversi_Satuan!D:D
)</f>
        <v>1</v>
      </c>
      <c r="H14">
        <f>Tabel2[[#This Row],[Qty_Masuk]]*Tabel2[[#This Row],[Konversi_ke_PCS]]</f>
        <v>15</v>
      </c>
      <c r="I14" s="9">
        <v>25000</v>
      </c>
      <c r="J14" s="9">
        <f>Tabel2[[#This Row],[Qty_Masuk]]*Tabel2[[#This Row],[Harga_Beli_per_Satuan]]</f>
        <v>375000</v>
      </c>
    </row>
    <row r="15" spans="1:12" x14ac:dyDescent="0.25">
      <c r="A15" s="7">
        <v>46025</v>
      </c>
      <c r="B15" t="s">
        <v>78</v>
      </c>
      <c r="C15" t="s">
        <v>58</v>
      </c>
      <c r="D15" t="str">
        <f>IF(
 C15="",
 "",
 _xlfn.XLOOKUP(
   C15,
   Master_Barang!A:A,
   Master_Barang!B:B
 )
)</f>
        <v>Teh</v>
      </c>
      <c r="E15" t="s">
        <v>63</v>
      </c>
      <c r="F15">
        <v>5</v>
      </c>
      <c r="G15" cm="1">
        <f t="array" ref="G15">_xlfn.XLOOKUP(
  1,
  (Master_Konversi_Satuan!A:A=C15)*
  (Master_Konversi_Satuan!C:C=E15),
  Master_Konversi_Satuan!D:D
)</f>
        <v>10</v>
      </c>
      <c r="H15">
        <f>Tabel2[[#This Row],[Qty_Masuk]]*Tabel2[[#This Row],[Konversi_ke_PCS]]</f>
        <v>50</v>
      </c>
      <c r="I15" s="9">
        <v>15000</v>
      </c>
      <c r="J15" s="9">
        <f>Tabel2[[#This Row],[Qty_Masuk]]*Tabel2[[#This Row],[Harga_Beli_per_Satuan]]</f>
        <v>75000</v>
      </c>
    </row>
    <row r="16" spans="1:12" x14ac:dyDescent="0.25">
      <c r="A16" s="7">
        <v>46025</v>
      </c>
      <c r="B16" t="s">
        <v>79</v>
      </c>
      <c r="C16" t="s">
        <v>49</v>
      </c>
      <c r="D16" t="str">
        <f>IF(
 C16="",
 "",
 _xlfn.XLOOKUP(
   C16,
   Master_Barang!A:A,
   Master_Barang!B:B
 )
)</f>
        <v>Beras</v>
      </c>
      <c r="E16" t="s">
        <v>51</v>
      </c>
      <c r="F16">
        <v>100</v>
      </c>
      <c r="G16" cm="1">
        <f t="array" ref="G16">_xlfn.XLOOKUP(
  1,
  (Master_Konversi_Satuan!A:A=C16)*
  (Master_Konversi_Satuan!C:C=E16),
  Master_Konversi_Satuan!D:D
)</f>
        <v>1</v>
      </c>
      <c r="H16">
        <f>Tabel2[[#This Row],[Qty_Masuk]]*Tabel2[[#This Row],[Konversi_ke_PCS]]</f>
        <v>100</v>
      </c>
      <c r="I16" s="9">
        <v>15000</v>
      </c>
      <c r="J16" s="9">
        <f>Tabel2[[#This Row],[Qty_Masuk]]*Tabel2[[#This Row],[Harga_Beli_per_Satuan]]</f>
        <v>1500000</v>
      </c>
    </row>
    <row r="21" spans="1:6" x14ac:dyDescent="0.25">
      <c r="A21" s="4"/>
      <c r="B21" s="4"/>
      <c r="C21" s="4"/>
      <c r="D21" s="4"/>
      <c r="E21" s="4"/>
      <c r="F21" s="4"/>
    </row>
    <row r="22" spans="1:6" x14ac:dyDescent="0.25">
      <c r="A22" s="8"/>
      <c r="B22" s="1"/>
      <c r="C22" s="1"/>
      <c r="D22" s="1"/>
      <c r="E22" s="1"/>
      <c r="F22" s="5"/>
    </row>
    <row r="23" spans="1:6" x14ac:dyDescent="0.25">
      <c r="A23" s="8"/>
      <c r="B23" s="1"/>
      <c r="C23" s="1"/>
      <c r="D23" s="1"/>
      <c r="E23" s="1"/>
      <c r="F23" s="5"/>
    </row>
    <row r="24" spans="1:6" x14ac:dyDescent="0.25">
      <c r="A24" s="8"/>
      <c r="B24" s="1"/>
      <c r="C24" s="1"/>
      <c r="D24" s="1"/>
      <c r="E24" s="1"/>
      <c r="F24" s="5"/>
    </row>
    <row r="25" spans="1:6" x14ac:dyDescent="0.25">
      <c r="A25" s="8"/>
      <c r="B25" s="1"/>
      <c r="C25" s="1"/>
      <c r="D25" s="1"/>
      <c r="E25" s="1"/>
      <c r="F25" s="5"/>
    </row>
    <row r="26" spans="1:6" x14ac:dyDescent="0.25">
      <c r="A26" s="8"/>
      <c r="B26" s="1"/>
      <c r="C26" s="1"/>
      <c r="D26" s="1"/>
      <c r="E26" s="1"/>
      <c r="F26" s="5"/>
    </row>
    <row r="27" spans="1:6" x14ac:dyDescent="0.25">
      <c r="A27" s="8"/>
      <c r="B27" s="1"/>
      <c r="C27" s="1"/>
      <c r="D27" s="1"/>
      <c r="E27" s="1"/>
      <c r="F27" s="5"/>
    </row>
    <row r="28" spans="1:6" x14ac:dyDescent="0.25">
      <c r="A28" s="8"/>
      <c r="B28" s="1"/>
      <c r="C28" s="1"/>
      <c r="D28" s="1"/>
      <c r="E28" s="1"/>
      <c r="F28" s="5"/>
    </row>
    <row r="29" spans="1:6" x14ac:dyDescent="0.25">
      <c r="A29" s="8"/>
      <c r="B29" s="1"/>
      <c r="C29" s="1"/>
      <c r="D29" s="1"/>
      <c r="E29" s="1"/>
      <c r="F29" s="5"/>
    </row>
    <row r="30" spans="1:6" x14ac:dyDescent="0.25">
      <c r="A30" s="8"/>
      <c r="B30" s="1"/>
      <c r="C30" s="1"/>
      <c r="D30" s="1"/>
      <c r="E30" s="1"/>
      <c r="F30" s="5"/>
    </row>
    <row r="31" spans="1:6" x14ac:dyDescent="0.25">
      <c r="A31" s="8"/>
      <c r="B31" s="1"/>
      <c r="C31" s="1"/>
      <c r="D31" s="1"/>
      <c r="E31" s="1"/>
      <c r="F31" s="5"/>
    </row>
    <row r="32" spans="1:6" x14ac:dyDescent="0.25">
      <c r="A32" s="8"/>
      <c r="B32" s="1"/>
      <c r="C32" s="1"/>
      <c r="D32" s="1"/>
      <c r="E32" s="1"/>
      <c r="F32" s="5"/>
    </row>
    <row r="33" spans="1:6" x14ac:dyDescent="0.25">
      <c r="A33" s="8"/>
      <c r="B33" s="1"/>
      <c r="C33" s="1"/>
      <c r="D33" s="1"/>
      <c r="E33" s="1"/>
      <c r="F33" s="5"/>
    </row>
    <row r="34" spans="1:6" x14ac:dyDescent="0.25">
      <c r="A34" s="8"/>
      <c r="B34" s="1"/>
      <c r="C34" s="1"/>
      <c r="D34" s="1"/>
      <c r="E34" s="1"/>
      <c r="F34" s="5"/>
    </row>
    <row r="35" spans="1:6" x14ac:dyDescent="0.25">
      <c r="A35" s="8"/>
      <c r="B35" s="1"/>
      <c r="C35" s="1"/>
      <c r="D35" s="1"/>
      <c r="E35" s="1"/>
      <c r="F35" s="5"/>
    </row>
    <row r="36" spans="1:6" x14ac:dyDescent="0.25">
      <c r="A36" s="8"/>
      <c r="B36" s="1"/>
      <c r="C36" s="1"/>
      <c r="D36" s="1"/>
      <c r="E36" s="1"/>
      <c r="F36" s="5"/>
    </row>
  </sheetData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58A36F-81BE-4D13-8E46-9B53A93DDF93}">
          <x14:formula1>
            <xm:f>Master_Barang!$A$2:$A$36</xm:f>
          </x14:formula1>
          <xm:sqref>C2:C6</xm:sqref>
        </x14:dataValidation>
        <x14:dataValidation type="list" allowBlank="1" showInputMessage="1" showErrorMessage="1" xr:uid="{A7E9AF2D-C2FC-41B9-8757-C2144AF53348}">
          <x14:formula1>
            <xm:f>Master_Dropdown!$B$2:$B$15</xm:f>
          </x14:formula1>
          <xm:sqref>E2:E16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1A72-B11F-4DFA-B241-CDDF13D54C65}">
  <dimension ref="A1:S21"/>
  <sheetViews>
    <sheetView topLeftCell="B1" workbookViewId="0">
      <selection activeCell="E26" sqref="E26"/>
    </sheetView>
  </sheetViews>
  <sheetFormatPr defaultRowHeight="15" x14ac:dyDescent="0.25"/>
  <cols>
    <col min="1" max="1" width="10.7109375" style="7" bestFit="1" customWidth="1"/>
    <col min="2" max="2" width="16.7109375" customWidth="1"/>
    <col min="3" max="3" width="15.7109375" customWidth="1"/>
    <col min="4" max="4" width="14.7109375" customWidth="1"/>
    <col min="5" max="5" width="15.28515625" customWidth="1"/>
    <col min="6" max="6" width="10.5703125" customWidth="1"/>
    <col min="7" max="7" width="12.140625" customWidth="1"/>
    <col min="8" max="8" width="13.42578125" customWidth="1"/>
    <col min="9" max="9" width="13.28515625" customWidth="1"/>
    <col min="11" max="11" width="10.7109375" style="7" bestFit="1" customWidth="1"/>
    <col min="12" max="12" width="17" bestFit="1" customWidth="1"/>
    <col min="13" max="13" width="16" bestFit="1" customWidth="1"/>
    <col min="14" max="14" width="14.85546875" bestFit="1" customWidth="1"/>
    <col min="15" max="15" width="15.5703125" bestFit="1" customWidth="1"/>
    <col min="16" max="16" width="10.7109375" bestFit="1" customWidth="1"/>
    <col min="17" max="17" width="12.28515625" bestFit="1" customWidth="1"/>
    <col min="18" max="18" width="13.7109375" bestFit="1" customWidth="1"/>
    <col min="19" max="19" width="13.42578125" bestFit="1" customWidth="1"/>
  </cols>
  <sheetData>
    <row r="1" spans="1:19" x14ac:dyDescent="0.25">
      <c r="A1" s="7" t="s">
        <v>12</v>
      </c>
      <c r="B1" t="s">
        <v>26</v>
      </c>
      <c r="C1" t="s">
        <v>27</v>
      </c>
      <c r="D1" t="s">
        <v>0</v>
      </c>
      <c r="E1" t="s">
        <v>1</v>
      </c>
      <c r="F1" t="s">
        <v>28</v>
      </c>
      <c r="G1" t="s">
        <v>29</v>
      </c>
      <c r="H1" t="s">
        <v>30</v>
      </c>
      <c r="I1" t="s">
        <v>20</v>
      </c>
      <c r="K1" s="7" t="s">
        <v>12</v>
      </c>
      <c r="L1" t="s">
        <v>26</v>
      </c>
      <c r="M1" t="s">
        <v>27</v>
      </c>
      <c r="N1" t="s">
        <v>0</v>
      </c>
      <c r="O1" t="s">
        <v>1</v>
      </c>
      <c r="P1" t="s">
        <v>28</v>
      </c>
      <c r="Q1" t="s">
        <v>29</v>
      </c>
      <c r="R1" t="s">
        <v>30</v>
      </c>
      <c r="S1" t="s">
        <v>20</v>
      </c>
    </row>
    <row r="2" spans="1:19" x14ac:dyDescent="0.25">
      <c r="A2" s="7">
        <f>IF(Barang_Masuk!A2="","",Barang_Masuk!A2)</f>
        <v>46023</v>
      </c>
      <c r="B2" t="str">
        <f>IF(A2="","","MASUK")</f>
        <v>MASUK</v>
      </c>
      <c r="C2" t="str">
        <f>IF(A2="","",Barang_Masuk!B2)</f>
        <v>BM01</v>
      </c>
      <c r="D2" t="str">
        <f>IF(A2="","",Barang_Masuk!C2)</f>
        <v>BR01</v>
      </c>
      <c r="E2" t="str">
        <f>IF(A2="","",Barang_Masuk!D2)</f>
        <v>Telur</v>
      </c>
      <c r="F2">
        <f>IF(A2="","",Barang_Masuk!H2)</f>
        <v>150</v>
      </c>
      <c r="G2">
        <f>IF(A2="","",1)</f>
        <v>1</v>
      </c>
      <c r="H2">
        <f>IF(A2="","",F2*G2)</f>
        <v>150</v>
      </c>
      <c r="I2">
        <f>IF(A2="","",Barang_Masuk!L2)</f>
        <v>0</v>
      </c>
      <c r="K2" s="7">
        <f>IF(Penjualan!A2="","",Penjualan!A2)</f>
        <v>46023</v>
      </c>
      <c r="L2" t="str">
        <f>IF(K2="","","KELUAR")</f>
        <v>KELUAR</v>
      </c>
      <c r="M2" t="str">
        <f>IF(K2="","",Penjualan!B2)</f>
        <v>PJ01</v>
      </c>
      <c r="N2" t="str">
        <f>IF(K2="","",Penjualan!C2)</f>
        <v>BR01</v>
      </c>
      <c r="O2" t="str">
        <f>IF(K2="","",Penjualan!D2)</f>
        <v>Telur</v>
      </c>
      <c r="P2">
        <f>IF(K2="","",Penjualan!H2)</f>
        <v>20</v>
      </c>
      <c r="Q2">
        <f>IF(K2="","",-1)</f>
        <v>-1</v>
      </c>
      <c r="R2">
        <f>IF(K2="","",P2*Q2)</f>
        <v>-20</v>
      </c>
      <c r="S2">
        <f>IF(K2="","",Penjualan!M2)</f>
        <v>0</v>
      </c>
    </row>
    <row r="3" spans="1:19" x14ac:dyDescent="0.25">
      <c r="A3" s="7">
        <f>IF(Barang_Masuk!A3="","",Barang_Masuk!A3)</f>
        <v>46023</v>
      </c>
      <c r="B3" t="str">
        <f t="shared" ref="B3:B6" si="0">IF(A3="","","MASUK")</f>
        <v>MASUK</v>
      </c>
      <c r="C3" t="str">
        <f>IF(A3="","",Barang_Masuk!B3)</f>
        <v>BM02</v>
      </c>
      <c r="D3" t="str">
        <f>IF(A3="","",Barang_Masuk!C3)</f>
        <v>BR02</v>
      </c>
      <c r="E3" t="str">
        <f>IF(A3="","",Barang_Masuk!D3)</f>
        <v>Gula</v>
      </c>
      <c r="F3">
        <f>IF(A3="","",Barang_Masuk!H3)</f>
        <v>50</v>
      </c>
      <c r="G3">
        <f t="shared" ref="G3:G6" si="1">IF(A3="","",1)</f>
        <v>1</v>
      </c>
      <c r="H3">
        <f t="shared" ref="H3:H6" si="2">IF(A3="","",F3*G3)</f>
        <v>50</v>
      </c>
      <c r="I3">
        <f>IF(A3="","",Barang_Masuk!L3)</f>
        <v>0</v>
      </c>
      <c r="K3" s="7">
        <f>IF(Penjualan!A3="","",Penjualan!A3)</f>
        <v>46023</v>
      </c>
      <c r="L3" t="str">
        <f t="shared" ref="L3:L11" si="3">IF(K3="","","KELUAR")</f>
        <v>KELUAR</v>
      </c>
      <c r="M3" t="str">
        <f>IF(K3="","",Penjualan!B3)</f>
        <v>PJ02</v>
      </c>
      <c r="N3" t="str">
        <f>IF(K3="","",Penjualan!C3)</f>
        <v>BR02</v>
      </c>
      <c r="O3" t="str">
        <f>IF(K3="","",Penjualan!D3)</f>
        <v>Gula</v>
      </c>
      <c r="P3">
        <f>IF(K3="","",Penjualan!H3)</f>
        <v>10</v>
      </c>
      <c r="Q3">
        <f t="shared" ref="Q3:Q11" si="4">IF(K3="","",-1)</f>
        <v>-1</v>
      </c>
      <c r="R3">
        <f t="shared" ref="R3:R11" si="5">IF(K3="","",P3*Q3)</f>
        <v>-10</v>
      </c>
      <c r="S3">
        <f>IF(K3="","",Penjualan!M3)</f>
        <v>0</v>
      </c>
    </row>
    <row r="4" spans="1:19" x14ac:dyDescent="0.25">
      <c r="A4" s="7">
        <f>IF(Barang_Masuk!A4="","",Barang_Masuk!A4)</f>
        <v>46023</v>
      </c>
      <c r="B4" t="str">
        <f t="shared" si="0"/>
        <v>MASUK</v>
      </c>
      <c r="C4" t="str">
        <f>IF(A4="","",Barang_Masuk!B4)</f>
        <v>BM03</v>
      </c>
      <c r="D4" t="str">
        <f>IF(A4="","",Barang_Masuk!C4)</f>
        <v>BR03</v>
      </c>
      <c r="E4" t="str">
        <f>IF(A4="","",Barang_Masuk!D4)</f>
        <v>Beras</v>
      </c>
      <c r="F4">
        <f>IF(A4="","",Barang_Masuk!H4)</f>
        <v>75</v>
      </c>
      <c r="G4">
        <f t="shared" si="1"/>
        <v>1</v>
      </c>
      <c r="H4">
        <f t="shared" si="2"/>
        <v>75</v>
      </c>
      <c r="I4">
        <f>IF(A4="","",Barang_Masuk!L4)</f>
        <v>0</v>
      </c>
      <c r="K4" s="7">
        <f>IF(Penjualan!A4="","",Penjualan!A4)</f>
        <v>46023</v>
      </c>
      <c r="L4" t="str">
        <f t="shared" si="3"/>
        <v>KELUAR</v>
      </c>
      <c r="M4" t="str">
        <f>IF(K4="","",Penjualan!B4)</f>
        <v>PJ03</v>
      </c>
      <c r="N4" t="str">
        <f>IF(K4="","",Penjualan!C4)</f>
        <v>BR05</v>
      </c>
      <c r="O4" t="str">
        <f>IF(K4="","",Penjualan!D4)</f>
        <v>Kopi</v>
      </c>
      <c r="P4">
        <f>IF(K4="","",Penjualan!H4)</f>
        <v>20</v>
      </c>
      <c r="Q4">
        <f t="shared" si="4"/>
        <v>-1</v>
      </c>
      <c r="R4">
        <f t="shared" si="5"/>
        <v>-20</v>
      </c>
      <c r="S4">
        <f>IF(K4="","",Penjualan!M4)</f>
        <v>0</v>
      </c>
    </row>
    <row r="5" spans="1:19" x14ac:dyDescent="0.25">
      <c r="A5" s="7">
        <f>IF(Barang_Masuk!A5="","",Barang_Masuk!A5)</f>
        <v>46023</v>
      </c>
      <c r="B5" t="str">
        <f t="shared" si="0"/>
        <v>MASUK</v>
      </c>
      <c r="C5" t="str">
        <f>IF(A5="","",Barang_Masuk!B5)</f>
        <v>BM04</v>
      </c>
      <c r="D5" t="str">
        <f>IF(A5="","",Barang_Masuk!C5)</f>
        <v>BR04</v>
      </c>
      <c r="E5" t="str">
        <f>IF(A5="","",Barang_Masuk!D5)</f>
        <v>Minyak</v>
      </c>
      <c r="F5">
        <f>IF(A5="","",Barang_Masuk!H5)</f>
        <v>24</v>
      </c>
      <c r="G5">
        <f t="shared" si="1"/>
        <v>1</v>
      </c>
      <c r="H5">
        <f t="shared" si="2"/>
        <v>24</v>
      </c>
      <c r="I5">
        <f>IF(A5="","",Barang_Masuk!L5)</f>
        <v>0</v>
      </c>
      <c r="K5" s="7">
        <f>IF(Penjualan!A5="","",Penjualan!A5)</f>
        <v>46024</v>
      </c>
      <c r="L5" t="str">
        <f t="shared" si="3"/>
        <v>KELUAR</v>
      </c>
      <c r="M5" t="str">
        <f>IF(K5="","",Penjualan!B5)</f>
        <v>PJ04</v>
      </c>
      <c r="N5" t="str">
        <f>IF(K5="","",Penjualan!C5)</f>
        <v>BR03</v>
      </c>
      <c r="O5" t="str">
        <f>IF(K5="","",Penjualan!D5)</f>
        <v>Beras</v>
      </c>
      <c r="P5">
        <f>IF(K5="","",Penjualan!H5)</f>
        <v>50</v>
      </c>
      <c r="Q5">
        <f t="shared" si="4"/>
        <v>-1</v>
      </c>
      <c r="R5">
        <f t="shared" si="5"/>
        <v>-50</v>
      </c>
      <c r="S5">
        <f>IF(K5="","",Penjualan!M5)</f>
        <v>0</v>
      </c>
    </row>
    <row r="6" spans="1:19" x14ac:dyDescent="0.25">
      <c r="A6" s="7">
        <f>IF(Barang_Masuk!A6="","",Barang_Masuk!A6)</f>
        <v>46023</v>
      </c>
      <c r="B6" t="str">
        <f t="shared" si="0"/>
        <v>MASUK</v>
      </c>
      <c r="C6" t="str">
        <f>IF(A6="","",Barang_Masuk!B6)</f>
        <v>BM05</v>
      </c>
      <c r="D6" t="str">
        <f>IF(A6="","",Barang_Masuk!C6)</f>
        <v>BR05</v>
      </c>
      <c r="E6" t="str">
        <f>IF(A6="","",Barang_Masuk!D6)</f>
        <v>Kopi</v>
      </c>
      <c r="F6">
        <f>IF(A6="","",Barang_Masuk!H6)</f>
        <v>50</v>
      </c>
      <c r="G6">
        <f t="shared" si="1"/>
        <v>1</v>
      </c>
      <c r="H6">
        <f t="shared" si="2"/>
        <v>50</v>
      </c>
      <c r="I6">
        <f>IF(A6="","",Barang_Masuk!L6)</f>
        <v>0</v>
      </c>
      <c r="K6" s="7">
        <f>IF(Penjualan!A6="","",Penjualan!A6)</f>
        <v>46024</v>
      </c>
      <c r="L6" t="str">
        <f t="shared" si="3"/>
        <v>KELUAR</v>
      </c>
      <c r="M6" t="str">
        <f>IF(K6="","",Penjualan!B6)</f>
        <v>PJ05</v>
      </c>
      <c r="N6" t="str">
        <f>IF(K6="","",Penjualan!C6)</f>
        <v>BR01</v>
      </c>
      <c r="O6" t="str">
        <f>IF(K6="","",Penjualan!D6)</f>
        <v>Telur</v>
      </c>
      <c r="P6">
        <f>IF(K6="","",Penjualan!H6)</f>
        <v>30</v>
      </c>
      <c r="Q6">
        <f t="shared" si="4"/>
        <v>-1</v>
      </c>
      <c r="R6">
        <f t="shared" si="5"/>
        <v>-30</v>
      </c>
      <c r="S6">
        <f>IF(K6="","",Penjualan!M6)</f>
        <v>0</v>
      </c>
    </row>
    <row r="7" spans="1:19" x14ac:dyDescent="0.25">
      <c r="A7" s="7">
        <f>IF(Barang_Masuk!A7="","",Barang_Masuk!A7)</f>
        <v>46024</v>
      </c>
      <c r="B7" t="str">
        <f t="shared" ref="B7:B21" si="6">IF(A7="","","MASUK")</f>
        <v>MASUK</v>
      </c>
      <c r="C7" t="str">
        <f>IF(A7="","",Barang_Masuk!B7)</f>
        <v>BM06</v>
      </c>
      <c r="D7" t="str">
        <f>IF(A7="","",Barang_Masuk!C7)</f>
        <v>BR01</v>
      </c>
      <c r="E7" t="str">
        <f>IF(A7="","",Barang_Masuk!D7)</f>
        <v>Telur</v>
      </c>
      <c r="F7">
        <f>IF(A7="","",Barang_Masuk!H7)</f>
        <v>30</v>
      </c>
      <c r="G7">
        <f t="shared" ref="G7:G21" si="7">IF(A7="","",1)</f>
        <v>1</v>
      </c>
      <c r="H7">
        <f t="shared" ref="H7:H21" si="8">IF(A7="","",F7*G7)</f>
        <v>30</v>
      </c>
      <c r="I7">
        <f>IF(A7="","",Barang_Masuk!L7)</f>
        <v>0</v>
      </c>
      <c r="K7" s="7">
        <f>IF(Penjualan!A7="","",Penjualan!A7)</f>
        <v>46024</v>
      </c>
      <c r="L7" t="str">
        <f t="shared" si="3"/>
        <v>KELUAR</v>
      </c>
      <c r="M7" t="str">
        <f>IF(K7="","",Penjualan!B7)</f>
        <v>PJ06</v>
      </c>
      <c r="N7" t="str">
        <f>IF(K7="","",Penjualan!C7)</f>
        <v>BR04</v>
      </c>
      <c r="O7" t="str">
        <f>IF(K7="","",Penjualan!D7)</f>
        <v>Minyak</v>
      </c>
      <c r="P7">
        <f>IF(K7="","",Penjualan!H7)</f>
        <v>10</v>
      </c>
      <c r="Q7">
        <f t="shared" si="4"/>
        <v>-1</v>
      </c>
      <c r="R7">
        <f t="shared" si="5"/>
        <v>-10</v>
      </c>
      <c r="S7">
        <f>IF(K7="","",Penjualan!M7)</f>
        <v>0</v>
      </c>
    </row>
    <row r="8" spans="1:19" x14ac:dyDescent="0.25">
      <c r="A8" s="7">
        <f>IF(Barang_Masuk!A8="","",Barang_Masuk!A8)</f>
        <v>46024</v>
      </c>
      <c r="B8" t="str">
        <f t="shared" si="6"/>
        <v>MASUK</v>
      </c>
      <c r="C8" t="str">
        <f>IF(A8="","",Barang_Masuk!B8)</f>
        <v>BM07</v>
      </c>
      <c r="D8" t="str">
        <f>IF(A8="","",Barang_Masuk!C8)</f>
        <v>BR02</v>
      </c>
      <c r="E8" t="str">
        <f>IF(A8="","",Barang_Masuk!D8)</f>
        <v>Gula</v>
      </c>
      <c r="F8">
        <f>IF(A8="","",Barang_Masuk!H8)</f>
        <v>25</v>
      </c>
      <c r="G8">
        <f t="shared" si="7"/>
        <v>1</v>
      </c>
      <c r="H8">
        <f t="shared" si="8"/>
        <v>25</v>
      </c>
      <c r="I8">
        <f>IF(A8="","",Barang_Masuk!L8)</f>
        <v>0</v>
      </c>
      <c r="K8" s="7">
        <f>IF(Penjualan!A8="","",Penjualan!A8)</f>
        <v>46024</v>
      </c>
      <c r="L8" t="str">
        <f t="shared" si="3"/>
        <v>KELUAR</v>
      </c>
      <c r="M8" t="str">
        <f>IF(K8="","",Penjualan!B8)</f>
        <v>PJ07</v>
      </c>
      <c r="N8" t="str">
        <f>IF(K8="","",Penjualan!C8)</f>
        <v>BR06</v>
      </c>
      <c r="O8" t="str">
        <f>IF(K8="","",Penjualan!D8)</f>
        <v>Teh</v>
      </c>
      <c r="P8">
        <f>IF(K8="","",Penjualan!H8)</f>
        <v>20</v>
      </c>
      <c r="Q8">
        <f t="shared" si="4"/>
        <v>-1</v>
      </c>
      <c r="R8">
        <f t="shared" si="5"/>
        <v>-20</v>
      </c>
      <c r="S8">
        <f>IF(K8="","",Penjualan!M8)</f>
        <v>0</v>
      </c>
    </row>
    <row r="9" spans="1:19" x14ac:dyDescent="0.25">
      <c r="A9" s="7">
        <f>IF(Barang_Masuk!A9="","",Barang_Masuk!A9)</f>
        <v>46024</v>
      </c>
      <c r="B9" t="str">
        <f t="shared" si="6"/>
        <v>MASUK</v>
      </c>
      <c r="C9" t="str">
        <f>IF(A9="","",Barang_Masuk!B9)</f>
        <v>BM08</v>
      </c>
      <c r="D9" t="str">
        <f>IF(A9="","",Barang_Masuk!C9)</f>
        <v>BR03</v>
      </c>
      <c r="E9" t="str">
        <f>IF(A9="","",Barang_Masuk!D9)</f>
        <v>Beras</v>
      </c>
      <c r="F9">
        <f>IF(A9="","",Barang_Masuk!H9)</f>
        <v>50</v>
      </c>
      <c r="G9">
        <f t="shared" si="7"/>
        <v>1</v>
      </c>
      <c r="H9">
        <f t="shared" si="8"/>
        <v>50</v>
      </c>
      <c r="I9">
        <f>IF(A9="","",Barang_Masuk!L9)</f>
        <v>0</v>
      </c>
      <c r="K9" s="7">
        <f>IF(Penjualan!A9="","",Penjualan!A9)</f>
        <v>46025</v>
      </c>
      <c r="L9" t="str">
        <f t="shared" si="3"/>
        <v>KELUAR</v>
      </c>
      <c r="M9" t="str">
        <f>IF(K9="","",Penjualan!B9)</f>
        <v>PJ08</v>
      </c>
      <c r="N9" t="str">
        <f>IF(K9="","",Penjualan!C9)</f>
        <v>BR02</v>
      </c>
      <c r="O9" t="str">
        <f>IF(K9="","",Penjualan!D9)</f>
        <v>Gula</v>
      </c>
      <c r="P9">
        <f>IF(K9="","",Penjualan!H9)</f>
        <v>50</v>
      </c>
      <c r="Q9">
        <f t="shared" si="4"/>
        <v>-1</v>
      </c>
      <c r="R9">
        <f t="shared" si="5"/>
        <v>-50</v>
      </c>
      <c r="S9">
        <f>IF(K9="","",Penjualan!M9)</f>
        <v>0</v>
      </c>
    </row>
    <row r="10" spans="1:19" x14ac:dyDescent="0.25">
      <c r="A10" s="7">
        <f>IF(Barang_Masuk!A10="","",Barang_Masuk!A10)</f>
        <v>46024</v>
      </c>
      <c r="B10" t="str">
        <f t="shared" si="6"/>
        <v>MASUK</v>
      </c>
      <c r="C10" t="str">
        <f>IF(A10="","",Barang_Masuk!B10)</f>
        <v>BM09</v>
      </c>
      <c r="D10" t="str">
        <f>IF(A10="","",Barang_Masuk!C10)</f>
        <v>BR06</v>
      </c>
      <c r="E10" t="str">
        <f>IF(A10="","",Barang_Masuk!D10)</f>
        <v>Teh</v>
      </c>
      <c r="F10">
        <f>IF(A10="","",Barang_Masuk!H10)</f>
        <v>60</v>
      </c>
      <c r="G10">
        <f t="shared" si="7"/>
        <v>1</v>
      </c>
      <c r="H10">
        <f t="shared" si="8"/>
        <v>60</v>
      </c>
      <c r="I10">
        <f>IF(A10="","",Barang_Masuk!L10)</f>
        <v>0</v>
      </c>
      <c r="K10" s="7">
        <f>IF(Penjualan!A10="","",Penjualan!A10)</f>
        <v>46025</v>
      </c>
      <c r="L10" t="str">
        <f t="shared" si="3"/>
        <v>KELUAR</v>
      </c>
      <c r="M10" t="str">
        <f>IF(K10="","",Penjualan!B10)</f>
        <v>PJ09</v>
      </c>
      <c r="N10" t="str">
        <f>IF(K10="","",Penjualan!C10)</f>
        <v>BR03</v>
      </c>
      <c r="O10" t="str">
        <f>IF(K10="","",Penjualan!D10)</f>
        <v>Beras</v>
      </c>
      <c r="P10">
        <f>IF(K10="","",Penjualan!H10)</f>
        <v>70</v>
      </c>
      <c r="Q10">
        <f t="shared" si="4"/>
        <v>-1</v>
      </c>
      <c r="R10">
        <f t="shared" si="5"/>
        <v>-70</v>
      </c>
      <c r="S10">
        <f>IF(K10="","",Penjualan!M10)</f>
        <v>0</v>
      </c>
    </row>
    <row r="11" spans="1:19" x14ac:dyDescent="0.25">
      <c r="A11" s="7">
        <f>IF(Barang_Masuk!A11="","",Barang_Masuk!A11)</f>
        <v>46024</v>
      </c>
      <c r="B11" t="str">
        <f t="shared" si="6"/>
        <v>MASUK</v>
      </c>
      <c r="C11" t="str">
        <f>IF(A11="","",Barang_Masuk!B11)</f>
        <v>BM10</v>
      </c>
      <c r="D11" t="str">
        <f>IF(A11="","",Barang_Masuk!C11)</f>
        <v>BR04</v>
      </c>
      <c r="E11" t="str">
        <f>IF(A11="","",Barang_Masuk!D11)</f>
        <v>Minyak</v>
      </c>
      <c r="F11">
        <f>IF(A11="","",Barang_Masuk!H11)</f>
        <v>6</v>
      </c>
      <c r="G11">
        <f t="shared" si="7"/>
        <v>1</v>
      </c>
      <c r="H11">
        <f t="shared" si="8"/>
        <v>6</v>
      </c>
      <c r="I11">
        <f>IF(A11="","",Barang_Masuk!L11)</f>
        <v>0</v>
      </c>
      <c r="K11" s="7">
        <f>IF(Penjualan!A11="","",Penjualan!A11)</f>
        <v>46025</v>
      </c>
      <c r="L11" t="str">
        <f t="shared" si="3"/>
        <v>KELUAR</v>
      </c>
      <c r="M11" t="str">
        <f>IF(K11="","",Penjualan!B11)</f>
        <v>PJ10</v>
      </c>
      <c r="N11" t="str">
        <f>IF(K11="","",Penjualan!C11)</f>
        <v>BR01</v>
      </c>
      <c r="O11" t="str">
        <f>IF(K11="","",Penjualan!D11)</f>
        <v>Telur</v>
      </c>
      <c r="P11">
        <f>IF(K11="","",Penjualan!H11)</f>
        <v>40</v>
      </c>
      <c r="Q11">
        <f t="shared" si="4"/>
        <v>-1</v>
      </c>
      <c r="R11">
        <f t="shared" si="5"/>
        <v>-40</v>
      </c>
      <c r="S11">
        <f>IF(K11="","",Penjualan!M11)</f>
        <v>0</v>
      </c>
    </row>
    <row r="12" spans="1:19" x14ac:dyDescent="0.25">
      <c r="A12" s="7">
        <f>IF(Barang_Masuk!A12="","",Barang_Masuk!A12)</f>
        <v>46025</v>
      </c>
      <c r="B12" t="str">
        <f t="shared" si="6"/>
        <v>MASUK</v>
      </c>
      <c r="C12" t="str">
        <f>IF(A12="","",Barang_Masuk!B12)</f>
        <v>BM11</v>
      </c>
      <c r="D12" t="str">
        <f>IF(A12="","",Barang_Masuk!C12)</f>
        <v>BR01</v>
      </c>
      <c r="E12" t="str">
        <f>IF(A12="","",Barang_Masuk!D12)</f>
        <v>Telur</v>
      </c>
      <c r="F12">
        <f>IF(A12="","",Barang_Masuk!H12)</f>
        <v>60</v>
      </c>
      <c r="G12">
        <f t="shared" si="7"/>
        <v>1</v>
      </c>
      <c r="H12">
        <f t="shared" si="8"/>
        <v>60</v>
      </c>
      <c r="I12">
        <f>IF(A12="","",Barang_Masuk!L12)</f>
        <v>0</v>
      </c>
      <c r="K12" s="7" t="str">
        <f>IF(Penjualan!A12="","",Penjualan!A12)</f>
        <v/>
      </c>
      <c r="L12" t="str">
        <f t="shared" ref="L12" si="9">IF(J12="","","KELUAR")</f>
        <v/>
      </c>
      <c r="M12" t="str">
        <f>IF(J12="","",Penjualan!B12)</f>
        <v/>
      </c>
      <c r="N12" t="str">
        <f>IF(J12="","",Penjualan!C12)</f>
        <v/>
      </c>
      <c r="O12" t="str">
        <f>IF(J12="","",Penjualan!D12)</f>
        <v/>
      </c>
      <c r="P12" t="str">
        <f>IF(J12="","",Penjualan!H12)</f>
        <v/>
      </c>
      <c r="Q12" t="str">
        <f t="shared" ref="Q12" si="10">IF(J12="","",-1)</f>
        <v/>
      </c>
      <c r="R12" t="str">
        <f t="shared" ref="R12" si="11">IF(J12="","",O12*P12)</f>
        <v/>
      </c>
      <c r="S12" t="str">
        <f>IF(J12="","",Penjualan!M12)</f>
        <v/>
      </c>
    </row>
    <row r="13" spans="1:19" x14ac:dyDescent="0.25">
      <c r="A13" s="7">
        <f>IF(Barang_Masuk!A13="","",Barang_Masuk!A13)</f>
        <v>46025</v>
      </c>
      <c r="B13" t="str">
        <f t="shared" si="6"/>
        <v>MASUK</v>
      </c>
      <c r="C13" t="str">
        <f>IF(A13="","",Barang_Masuk!B13)</f>
        <v>BM12</v>
      </c>
      <c r="D13" t="str">
        <f>IF(A13="","",Barang_Masuk!C13)</f>
        <v>BR05</v>
      </c>
      <c r="E13" t="str">
        <f>IF(A13="","",Barang_Masuk!D13)</f>
        <v>Kopi</v>
      </c>
      <c r="F13">
        <f>IF(A13="","",Barang_Masuk!H13)</f>
        <v>50</v>
      </c>
      <c r="G13">
        <f t="shared" si="7"/>
        <v>1</v>
      </c>
      <c r="H13">
        <f t="shared" si="8"/>
        <v>50</v>
      </c>
      <c r="I13">
        <f>IF(A13="","",Barang_Masuk!L13)</f>
        <v>0</v>
      </c>
      <c r="K13" s="7" t="str">
        <f>IF(Penjualan!A13="","",Penjualan!A13)</f>
        <v/>
      </c>
      <c r="L13" t="str">
        <f t="shared" ref="L13:L17" si="12">IF(K13="","","KELUAR")</f>
        <v/>
      </c>
      <c r="M13" t="str">
        <f>IF(K13="","",Penjualan!B13)</f>
        <v/>
      </c>
      <c r="N13" t="str">
        <f>IF(K13="","",Penjualan!C13)</f>
        <v/>
      </c>
      <c r="O13" t="str">
        <f>IF(K13="","",Penjualan!D13)</f>
        <v/>
      </c>
      <c r="P13" t="str">
        <f>IF(K13="","",Penjualan!H13)</f>
        <v/>
      </c>
      <c r="Q13" t="str">
        <f t="shared" ref="Q13:Q17" si="13">IF(K13="","",-1)</f>
        <v/>
      </c>
      <c r="R13" t="str">
        <f t="shared" ref="R13:R17" si="14">IF(K13="","",P13*Q13)</f>
        <v/>
      </c>
      <c r="S13" t="str">
        <f>IF(K13="","",Penjualan!M13)</f>
        <v/>
      </c>
    </row>
    <row r="14" spans="1:19" x14ac:dyDescent="0.25">
      <c r="A14" s="7">
        <f>IF(Barang_Masuk!A14="","",Barang_Masuk!A14)</f>
        <v>46025</v>
      </c>
      <c r="B14" t="str">
        <f t="shared" si="6"/>
        <v>MASUK</v>
      </c>
      <c r="C14" t="str">
        <f>IF(A14="","",Barang_Masuk!B14)</f>
        <v>BM13</v>
      </c>
      <c r="D14" t="str">
        <f>IF(A14="","",Barang_Masuk!C14)</f>
        <v>BR02</v>
      </c>
      <c r="E14" t="str">
        <f>IF(A14="","",Barang_Masuk!D14)</f>
        <v>Gula</v>
      </c>
      <c r="F14">
        <f>IF(A14="","",Barang_Masuk!H14)</f>
        <v>15</v>
      </c>
      <c r="G14">
        <f t="shared" si="7"/>
        <v>1</v>
      </c>
      <c r="H14">
        <f t="shared" si="8"/>
        <v>15</v>
      </c>
      <c r="I14">
        <f>IF(A14="","",Barang_Masuk!L14)</f>
        <v>0</v>
      </c>
      <c r="K14" s="7" t="str">
        <f>IF(Penjualan!A14="","",Penjualan!A14)</f>
        <v/>
      </c>
      <c r="L14" t="str">
        <f t="shared" si="12"/>
        <v/>
      </c>
      <c r="M14" t="str">
        <f>IF(K14="","",Penjualan!B14)</f>
        <v/>
      </c>
      <c r="N14" t="str">
        <f>IF(K14="","",Penjualan!C14)</f>
        <v/>
      </c>
      <c r="O14" t="str">
        <f>IF(K14="","",Penjualan!D14)</f>
        <v/>
      </c>
      <c r="P14" t="str">
        <f>IF(K14="","",Penjualan!H14)</f>
        <v/>
      </c>
      <c r="Q14" t="str">
        <f t="shared" si="13"/>
        <v/>
      </c>
      <c r="R14" t="str">
        <f t="shared" si="14"/>
        <v/>
      </c>
      <c r="S14" t="str">
        <f>IF(K14="","",Penjualan!M14)</f>
        <v/>
      </c>
    </row>
    <row r="15" spans="1:19" x14ac:dyDescent="0.25">
      <c r="A15" s="7">
        <f>IF(Barang_Masuk!A15="","",Barang_Masuk!A15)</f>
        <v>46025</v>
      </c>
      <c r="B15" t="str">
        <f t="shared" si="6"/>
        <v>MASUK</v>
      </c>
      <c r="C15" t="str">
        <f>IF(A15="","",Barang_Masuk!B15)</f>
        <v>BM14</v>
      </c>
      <c r="D15" t="str">
        <f>IF(A15="","",Barang_Masuk!C15)</f>
        <v>BR06</v>
      </c>
      <c r="E15" t="str">
        <f>IF(A15="","",Barang_Masuk!D15)</f>
        <v>Teh</v>
      </c>
      <c r="F15">
        <f>IF(A15="","",Barang_Masuk!H15)</f>
        <v>50</v>
      </c>
      <c r="G15">
        <f t="shared" si="7"/>
        <v>1</v>
      </c>
      <c r="H15">
        <f t="shared" si="8"/>
        <v>50</v>
      </c>
      <c r="I15">
        <f>IF(A15="","",Barang_Masuk!L15)</f>
        <v>0</v>
      </c>
      <c r="K15" s="7" t="str">
        <f>IF(Penjualan!A15="","",Penjualan!A15)</f>
        <v/>
      </c>
      <c r="L15" t="str">
        <f t="shared" si="12"/>
        <v/>
      </c>
      <c r="M15" t="str">
        <f>IF(K15="","",Penjualan!B15)</f>
        <v/>
      </c>
      <c r="N15" t="str">
        <f>IF(K15="","",Penjualan!C15)</f>
        <v/>
      </c>
      <c r="O15" t="str">
        <f>IF(K15="","",Penjualan!D15)</f>
        <v/>
      </c>
      <c r="P15" t="str">
        <f>IF(K15="","",Penjualan!H15)</f>
        <v/>
      </c>
      <c r="Q15" t="str">
        <f t="shared" si="13"/>
        <v/>
      </c>
      <c r="R15" t="str">
        <f t="shared" si="14"/>
        <v/>
      </c>
      <c r="S15" t="str">
        <f>IF(K15="","",Penjualan!M15)</f>
        <v/>
      </c>
    </row>
    <row r="16" spans="1:19" x14ac:dyDescent="0.25">
      <c r="A16" s="7">
        <f>IF(Barang_Masuk!A16="","",Barang_Masuk!A16)</f>
        <v>46025</v>
      </c>
      <c r="B16" t="str">
        <f t="shared" si="6"/>
        <v>MASUK</v>
      </c>
      <c r="C16" t="str">
        <f>IF(A16="","",Barang_Masuk!B16)</f>
        <v>BM15</v>
      </c>
      <c r="D16" t="str">
        <f>IF(A16="","",Barang_Masuk!C16)</f>
        <v>BR03</v>
      </c>
      <c r="E16" t="str">
        <f>IF(A16="","",Barang_Masuk!D16)</f>
        <v>Beras</v>
      </c>
      <c r="F16">
        <f>IF(A16="","",Barang_Masuk!H16)</f>
        <v>100</v>
      </c>
      <c r="G16">
        <f t="shared" si="7"/>
        <v>1</v>
      </c>
      <c r="H16">
        <f t="shared" si="8"/>
        <v>100</v>
      </c>
      <c r="I16">
        <f>IF(A16="","",Barang_Masuk!L16)</f>
        <v>0</v>
      </c>
      <c r="K16" s="7" t="str">
        <f>IF(Penjualan!A16="","",Penjualan!A16)</f>
        <v/>
      </c>
      <c r="L16" t="str">
        <f t="shared" si="12"/>
        <v/>
      </c>
      <c r="M16" t="str">
        <f>IF(K16="","",Penjualan!B16)</f>
        <v/>
      </c>
      <c r="N16" t="str">
        <f>IF(K16="","",Penjualan!C16)</f>
        <v/>
      </c>
      <c r="O16" t="str">
        <f>IF(K16="","",Penjualan!D16)</f>
        <v/>
      </c>
      <c r="P16" t="str">
        <f>IF(K16="","",Penjualan!H16)</f>
        <v/>
      </c>
      <c r="Q16" t="str">
        <f t="shared" si="13"/>
        <v/>
      </c>
      <c r="R16" t="str">
        <f t="shared" si="14"/>
        <v/>
      </c>
      <c r="S16" t="str">
        <f>IF(K16="","",Penjualan!M16)</f>
        <v/>
      </c>
    </row>
    <row r="17" spans="1:19" x14ac:dyDescent="0.25">
      <c r="A17" s="7" t="str">
        <f>IF(Barang_Masuk!A17="","",Barang_Masuk!A17)</f>
        <v/>
      </c>
      <c r="B17" t="str">
        <f t="shared" si="6"/>
        <v/>
      </c>
      <c r="C17" t="str">
        <f>IF(A17="","",Barang_Masuk!B17)</f>
        <v/>
      </c>
      <c r="D17" t="str">
        <f>IF(A17="","",Barang_Masuk!C17)</f>
        <v/>
      </c>
      <c r="E17" t="str">
        <f>IF(A17="","",Barang_Masuk!D17)</f>
        <v/>
      </c>
      <c r="F17" t="str">
        <f>IF(A17="","",Barang_Masuk!H17)</f>
        <v/>
      </c>
      <c r="G17" t="str">
        <f t="shared" si="7"/>
        <v/>
      </c>
      <c r="H17" t="str">
        <f t="shared" si="8"/>
        <v/>
      </c>
      <c r="I17" t="str">
        <f>IF(A17="","",Barang_Masuk!L17)</f>
        <v/>
      </c>
      <c r="K17" s="7" t="str">
        <f>IF(Penjualan!A17="","",Penjualan!A17)</f>
        <v/>
      </c>
      <c r="L17" t="str">
        <f t="shared" si="12"/>
        <v/>
      </c>
      <c r="M17" t="str">
        <f>IF(K17="","",Penjualan!B17)</f>
        <v/>
      </c>
      <c r="N17" t="str">
        <f>IF(K17="","",Penjualan!C17)</f>
        <v/>
      </c>
      <c r="O17" t="str">
        <f>IF(K17="","",Penjualan!D17)</f>
        <v/>
      </c>
      <c r="P17" t="str">
        <f>IF(K17="","",Penjualan!H17)</f>
        <v/>
      </c>
      <c r="Q17" t="str">
        <f t="shared" si="13"/>
        <v/>
      </c>
      <c r="R17" t="str">
        <f t="shared" si="14"/>
        <v/>
      </c>
      <c r="S17" t="str">
        <f>IF(K17="","",Penjualan!M17)</f>
        <v/>
      </c>
    </row>
    <row r="18" spans="1:19" x14ac:dyDescent="0.25">
      <c r="A18" s="7" t="str">
        <f>IF(Barang_Masuk!A18="","",Barang_Masuk!A18)</f>
        <v/>
      </c>
      <c r="B18" t="str">
        <f t="shared" si="6"/>
        <v/>
      </c>
      <c r="C18" t="str">
        <f>IF(A18="","",Barang_Masuk!B18)</f>
        <v/>
      </c>
      <c r="D18" t="str">
        <f>IF(A18="","",Barang_Masuk!C18)</f>
        <v/>
      </c>
      <c r="E18" t="str">
        <f>IF(A18="","",Barang_Masuk!D18)</f>
        <v/>
      </c>
      <c r="F18" t="str">
        <f>IF(A18="","",Barang_Masuk!H18)</f>
        <v/>
      </c>
      <c r="G18" t="str">
        <f t="shared" si="7"/>
        <v/>
      </c>
      <c r="H18" t="str">
        <f t="shared" si="8"/>
        <v/>
      </c>
      <c r="I18" t="str">
        <f>IF(A18="","",Barang_Masuk!L18)</f>
        <v/>
      </c>
    </row>
    <row r="19" spans="1:19" x14ac:dyDescent="0.25">
      <c r="A19" s="7" t="str">
        <f>IF(Barang_Masuk!A19="","",Barang_Masuk!A19)</f>
        <v/>
      </c>
      <c r="B19" t="str">
        <f t="shared" si="6"/>
        <v/>
      </c>
      <c r="C19" t="str">
        <f>IF(A19="","",Barang_Masuk!B19)</f>
        <v/>
      </c>
      <c r="D19" t="str">
        <f>IF(A19="","",Barang_Masuk!C19)</f>
        <v/>
      </c>
      <c r="E19" t="str">
        <f>IF(A19="","",Barang_Masuk!D19)</f>
        <v/>
      </c>
      <c r="F19" t="str">
        <f>IF(A19="","",Barang_Masuk!H19)</f>
        <v/>
      </c>
      <c r="G19" t="str">
        <f t="shared" si="7"/>
        <v/>
      </c>
      <c r="H19" t="str">
        <f t="shared" si="8"/>
        <v/>
      </c>
      <c r="I19" t="str">
        <f>IF(A19="","",Barang_Masuk!L19)</f>
        <v/>
      </c>
    </row>
    <row r="20" spans="1:19" x14ac:dyDescent="0.25">
      <c r="A20" s="7" t="str">
        <f>IF(Barang_Masuk!A20="","",Barang_Masuk!A20)</f>
        <v/>
      </c>
      <c r="B20" t="str">
        <f t="shared" si="6"/>
        <v/>
      </c>
      <c r="C20" t="str">
        <f>IF(A20="","",Barang_Masuk!B20)</f>
        <v/>
      </c>
      <c r="D20" t="str">
        <f>IF(A20="","",Barang_Masuk!C20)</f>
        <v/>
      </c>
      <c r="E20" t="str">
        <f>IF(A20="","",Barang_Masuk!D20)</f>
        <v/>
      </c>
      <c r="F20" t="str">
        <f>IF(A20="","",Barang_Masuk!H20)</f>
        <v/>
      </c>
      <c r="G20" t="str">
        <f t="shared" si="7"/>
        <v/>
      </c>
      <c r="H20" t="str">
        <f t="shared" si="8"/>
        <v/>
      </c>
      <c r="I20" t="str">
        <f>IF(A20="","",Barang_Masuk!L20)</f>
        <v/>
      </c>
    </row>
    <row r="21" spans="1:19" x14ac:dyDescent="0.25">
      <c r="A21" s="7" t="str">
        <f>IF(Barang_Masuk!A21="","",Barang_Masuk!A21)</f>
        <v/>
      </c>
      <c r="B21" t="str">
        <f t="shared" si="6"/>
        <v/>
      </c>
      <c r="C21" t="str">
        <f>IF(A21="","",Barang_Masuk!B21)</f>
        <v/>
      </c>
      <c r="D21" t="str">
        <f>IF(A21="","",Barang_Masuk!C21)</f>
        <v/>
      </c>
      <c r="E21" t="str">
        <f>IF(A21="","",Barang_Masuk!D21)</f>
        <v/>
      </c>
      <c r="F21" t="str">
        <f>IF(A21="","",Barang_Masuk!H21)</f>
        <v/>
      </c>
      <c r="G21" t="str">
        <f t="shared" si="7"/>
        <v/>
      </c>
      <c r="H21" t="str">
        <f t="shared" si="8"/>
        <v/>
      </c>
      <c r="I21" t="str">
        <f>IF(A21="","",Barang_Masuk!L21)</f>
        <v/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725F-6101-4953-B088-77C29DDED7E4}">
  <dimension ref="A1:M33"/>
  <sheetViews>
    <sheetView topLeftCell="B1" workbookViewId="0">
      <selection activeCell="C19" sqref="C19"/>
    </sheetView>
  </sheetViews>
  <sheetFormatPr defaultRowHeight="15" x14ac:dyDescent="0.25"/>
  <cols>
    <col min="1" max="1" width="10.7109375" style="7" bestFit="1" customWidth="1"/>
    <col min="2" max="2" width="14.85546875" customWidth="1"/>
    <col min="3" max="3" width="14.7109375" customWidth="1"/>
    <col min="4" max="4" width="15.28515625" customWidth="1"/>
    <col min="5" max="5" width="13.5703125" customWidth="1"/>
    <col min="6" max="6" width="10.7109375" customWidth="1"/>
    <col min="7" max="7" width="18.28515625" customWidth="1"/>
    <col min="8" max="8" width="11.85546875" customWidth="1"/>
    <col min="9" max="9" width="23.5703125" customWidth="1"/>
    <col min="10" max="10" width="17.42578125" customWidth="1"/>
    <col min="11" max="11" width="22.140625" customWidth="1"/>
    <col min="13" max="13" width="13.28515625" customWidth="1"/>
  </cols>
  <sheetData>
    <row r="1" spans="1:13" x14ac:dyDescent="0.25">
      <c r="A1" s="7" t="s">
        <v>12</v>
      </c>
      <c r="B1" t="s">
        <v>21</v>
      </c>
      <c r="C1" t="s">
        <v>0</v>
      </c>
      <c r="D1" t="s">
        <v>1</v>
      </c>
      <c r="E1" t="s">
        <v>9</v>
      </c>
      <c r="F1" t="s">
        <v>22</v>
      </c>
      <c r="G1" t="s">
        <v>10</v>
      </c>
      <c r="H1" t="s">
        <v>16</v>
      </c>
      <c r="I1" t="s">
        <v>23</v>
      </c>
      <c r="J1" t="s">
        <v>24</v>
      </c>
      <c r="K1" t="s">
        <v>25</v>
      </c>
      <c r="L1" t="s">
        <v>5</v>
      </c>
      <c r="M1" t="s">
        <v>20</v>
      </c>
    </row>
    <row r="2" spans="1:13" x14ac:dyDescent="0.25">
      <c r="A2" s="10">
        <v>46023</v>
      </c>
      <c r="B2" s="1" t="s">
        <v>80</v>
      </c>
      <c r="C2" s="1" t="s">
        <v>38</v>
      </c>
      <c r="D2" t="str">
        <f>IF(
 C2="",
 "",
 _xlfn.XLOOKUP(
   C2,
   Master_Barang!A:A,
   Master_Barang!B:B
 )
)</f>
        <v>Telur</v>
      </c>
      <c r="E2" t="s">
        <v>46</v>
      </c>
      <c r="F2" s="1">
        <v>20</v>
      </c>
      <c r="G2" cm="1">
        <f t="array" ref="G2">_xlfn.XLOOKUP(
  1,
  (Master_Konversi_Satuan!A:A=C2)*
  (Master_Konversi_Satuan!C:C=E2),
  Master_Konversi_Satuan!D:D
)</f>
        <v>1</v>
      </c>
      <c r="H2">
        <f>Tabel3[[#This Row],[Qty_Jual]]*Tabel3[[#This Row],[Konversi_ke_PCS]]</f>
        <v>20</v>
      </c>
      <c r="I2" cm="1">
        <f t="array" ref="I2">_xlfn.XLOOKUP(
  1,
  (Master_Konversi_Satuan!A:A=C2)*
  (Master_Konversi_Satuan!C:C=E2),
  Master_Konversi_Satuan!E:E
)</f>
        <v>1700</v>
      </c>
      <c r="J2">
        <f>F2*I2</f>
        <v>34000</v>
      </c>
    </row>
    <row r="3" spans="1:13" x14ac:dyDescent="0.25">
      <c r="A3" s="10">
        <v>46023</v>
      </c>
      <c r="B3" s="1" t="s">
        <v>81</v>
      </c>
      <c r="C3" s="1" t="s">
        <v>47</v>
      </c>
      <c r="D3" t="str">
        <f>IF(
 C3="",
 "",
 _xlfn.XLOOKUP(
   C3,
   Master_Barang!A:A,
   Master_Barang!B:B
 )
)</f>
        <v>Gula</v>
      </c>
      <c r="E3" t="s">
        <v>51</v>
      </c>
      <c r="F3" s="1">
        <v>10</v>
      </c>
      <c r="G3" cm="1">
        <f t="array" ref="G3">_xlfn.XLOOKUP(
  1,
  (Master_Konversi_Satuan!A:A=C3)*
  (Master_Konversi_Satuan!C:C=E3),
  Master_Konversi_Satuan!D:D
)</f>
        <v>1</v>
      </c>
      <c r="H3">
        <f>Tabel3[[#This Row],[Qty_Jual]]*Tabel3[[#This Row],[Konversi_ke_PCS]]</f>
        <v>10</v>
      </c>
      <c r="I3" cm="1">
        <f t="array" ref="I3">_xlfn.XLOOKUP(
  1,
  (Master_Konversi_Satuan!A:A=C3)*
  (Master_Konversi_Satuan!C:C=E3),
  Master_Konversi_Satuan!E:E
)</f>
        <v>14000</v>
      </c>
      <c r="J3">
        <f t="shared" ref="J3:J11" si="0">F3*I3</f>
        <v>140000</v>
      </c>
    </row>
    <row r="4" spans="1:13" x14ac:dyDescent="0.25">
      <c r="A4" s="10">
        <v>46023</v>
      </c>
      <c r="B4" s="1" t="s">
        <v>82</v>
      </c>
      <c r="C4" s="1" t="s">
        <v>55</v>
      </c>
      <c r="D4" t="str">
        <f>IF(
 C4="",
 "",
 _xlfn.XLOOKUP(
   C4,
   Master_Barang!A:A,
   Master_Barang!B:B
 )
)</f>
        <v>Kopi</v>
      </c>
      <c r="E4" t="s">
        <v>63</v>
      </c>
      <c r="F4" s="1">
        <v>2</v>
      </c>
      <c r="G4" cm="1">
        <f t="array" ref="G4">_xlfn.XLOOKUP(
  1,
  (Master_Konversi_Satuan!A:A=C4)*
  (Master_Konversi_Satuan!C:C=E4),
  Master_Konversi_Satuan!D:D
)</f>
        <v>10</v>
      </c>
      <c r="H4">
        <f>Tabel3[[#This Row],[Qty_Jual]]*Tabel3[[#This Row],[Konversi_ke_PCS]]</f>
        <v>20</v>
      </c>
      <c r="I4" cm="1">
        <f t="array" ref="I4">_xlfn.XLOOKUP(
  1,
  (Master_Konversi_Satuan!A:A=C4)*
  (Master_Konversi_Satuan!C:C=E4),
  Master_Konversi_Satuan!E:E
)</f>
        <v>45000</v>
      </c>
      <c r="J4">
        <f t="shared" si="0"/>
        <v>90000</v>
      </c>
    </row>
    <row r="5" spans="1:13" x14ac:dyDescent="0.25">
      <c r="A5" s="10">
        <v>46024</v>
      </c>
      <c r="B5" s="1" t="s">
        <v>83</v>
      </c>
      <c r="C5" s="1" t="s">
        <v>49</v>
      </c>
      <c r="D5" t="str">
        <f>IF(
 C5="",
 "",
 _xlfn.XLOOKUP(
   C5,
   Master_Barang!A:A,
   Master_Barang!B:B
 )
)</f>
        <v>Beras</v>
      </c>
      <c r="E5" t="s">
        <v>51</v>
      </c>
      <c r="F5">
        <v>50</v>
      </c>
      <c r="G5" cm="1">
        <f t="array" ref="G5">_xlfn.XLOOKUP(
  1,
  (Master_Konversi_Satuan!A:A=C5)*
  (Master_Konversi_Satuan!C:C=E5),
  Master_Konversi_Satuan!D:D
)</f>
        <v>1</v>
      </c>
      <c r="H5">
        <f>Tabel3[[#This Row],[Qty_Jual]]*Tabel3[[#This Row],[Konversi_ke_PCS]]</f>
        <v>50</v>
      </c>
      <c r="I5" cm="1">
        <f t="array" ref="I5">_xlfn.XLOOKUP(
  1,
  (Master_Konversi_Satuan!A:A=C5)*
  (Master_Konversi_Satuan!C:C=E5),
  Master_Konversi_Satuan!E:E
)</f>
        <v>13000</v>
      </c>
      <c r="J5">
        <f t="shared" si="0"/>
        <v>650000</v>
      </c>
    </row>
    <row r="6" spans="1:13" x14ac:dyDescent="0.25">
      <c r="A6" s="10">
        <v>46024</v>
      </c>
      <c r="B6" s="1" t="s">
        <v>84</v>
      </c>
      <c r="C6" s="1" t="s">
        <v>38</v>
      </c>
      <c r="D6" t="str">
        <f>IF(
 C6="",
 "",
 _xlfn.XLOOKUP(
   C6,
   Master_Barang!A:A,
   Master_Barang!B:B
 )
)</f>
        <v>Telur</v>
      </c>
      <c r="E6" t="s">
        <v>62</v>
      </c>
      <c r="F6">
        <v>1</v>
      </c>
      <c r="G6" cm="1">
        <f t="array" ref="G6">_xlfn.XLOOKUP(
  1,
  (Master_Konversi_Satuan!A:A=C6)*
  (Master_Konversi_Satuan!C:C=E6),
  Master_Konversi_Satuan!D:D
)</f>
        <v>30</v>
      </c>
      <c r="H6">
        <f>Tabel3[[#This Row],[Qty_Jual]]*Tabel3[[#This Row],[Konversi_ke_PCS]]</f>
        <v>30</v>
      </c>
      <c r="I6" cm="1">
        <f t="array" ref="I6">_xlfn.XLOOKUP(
  1,
  (Master_Konversi_Satuan!A:A=C6)*
  (Master_Konversi_Satuan!C:C=E6),
  Master_Konversi_Satuan!E:E
)</f>
        <v>45000</v>
      </c>
      <c r="J6">
        <f t="shared" si="0"/>
        <v>45000</v>
      </c>
    </row>
    <row r="7" spans="1:13" x14ac:dyDescent="0.25">
      <c r="A7" s="10">
        <v>46024</v>
      </c>
      <c r="B7" s="1" t="s">
        <v>85</v>
      </c>
      <c r="C7" s="1" t="s">
        <v>52</v>
      </c>
      <c r="D7" t="str">
        <f>IF(
 C7="",
 "",
 _xlfn.XLOOKUP(
   C7,
   Master_Barang!A:A,
   Master_Barang!B:B
 )
)</f>
        <v>Minyak</v>
      </c>
      <c r="E7" t="s">
        <v>54</v>
      </c>
      <c r="F7">
        <v>10</v>
      </c>
      <c r="G7" cm="1">
        <f t="array" ref="G7">_xlfn.XLOOKUP(
  1,
  (Master_Konversi_Satuan!A:A=C7)*
  (Master_Konversi_Satuan!C:C=E7),
  Master_Konversi_Satuan!D:D
)</f>
        <v>1</v>
      </c>
      <c r="H7">
        <f>Tabel3[[#This Row],[Qty_Jual]]*Tabel3[[#This Row],[Konversi_ke_PCS]]</f>
        <v>10</v>
      </c>
      <c r="I7" cm="1">
        <f t="array" ref="I7">_xlfn.XLOOKUP(
  1,
  (Master_Konversi_Satuan!A:A=C7)*
  (Master_Konversi_Satuan!C:C=E7),
  Master_Konversi_Satuan!E:E
)</f>
        <v>16000</v>
      </c>
      <c r="J7">
        <f t="shared" si="0"/>
        <v>160000</v>
      </c>
    </row>
    <row r="8" spans="1:13" x14ac:dyDescent="0.25">
      <c r="A8" s="10">
        <v>46024</v>
      </c>
      <c r="B8" s="1" t="s">
        <v>86</v>
      </c>
      <c r="C8" s="1" t="s">
        <v>58</v>
      </c>
      <c r="D8" t="str">
        <f>IF(
 C8="",
 "",
 _xlfn.XLOOKUP(
   C8,
   Master_Barang!A:A,
   Master_Barang!B:B
 )
)</f>
        <v>Teh</v>
      </c>
      <c r="E8" t="s">
        <v>46</v>
      </c>
      <c r="F8">
        <v>20</v>
      </c>
      <c r="G8" cm="1">
        <f t="array" ref="G8">_xlfn.XLOOKUP(
  1,
  (Master_Konversi_Satuan!A:A=C8)*
  (Master_Konversi_Satuan!C:C=E8),
  Master_Konversi_Satuan!D:D
)</f>
        <v>1</v>
      </c>
      <c r="H8">
        <f>Tabel3[[#This Row],[Qty_Jual]]*Tabel3[[#This Row],[Konversi_ke_PCS]]</f>
        <v>20</v>
      </c>
      <c r="I8" cm="1">
        <f t="array" ref="I8">_xlfn.XLOOKUP(
  1,
  (Master_Konversi_Satuan!A:A=C8)*
  (Master_Konversi_Satuan!C:C=E8),
  Master_Konversi_Satuan!E:E
)</f>
        <v>4000</v>
      </c>
      <c r="J8">
        <f t="shared" si="0"/>
        <v>80000</v>
      </c>
    </row>
    <row r="9" spans="1:13" x14ac:dyDescent="0.25">
      <c r="A9" s="10">
        <v>46025</v>
      </c>
      <c r="B9" s="1" t="s">
        <v>87</v>
      </c>
      <c r="C9" s="1" t="s">
        <v>47</v>
      </c>
      <c r="D9" t="str">
        <f>IF(
 C9="",
 "",
 _xlfn.XLOOKUP(
   C9,
   Master_Barang!A:A,
   Master_Barang!B:B
 )
)</f>
        <v>Gula</v>
      </c>
      <c r="E9" t="s">
        <v>60</v>
      </c>
      <c r="F9">
        <v>1</v>
      </c>
      <c r="G9" cm="1">
        <f t="array" ref="G9">_xlfn.XLOOKUP(
  1,
  (Master_Konversi_Satuan!A:A=C9)*
  (Master_Konversi_Satuan!C:C=E9),
  Master_Konversi_Satuan!D:D
)</f>
        <v>50</v>
      </c>
      <c r="H9">
        <f>Tabel3[[#This Row],[Qty_Jual]]*Tabel3[[#This Row],[Konversi_ke_PCS]]</f>
        <v>50</v>
      </c>
      <c r="I9" cm="1">
        <f t="array" ref="I9">_xlfn.XLOOKUP(
  1,
  (Master_Konversi_Satuan!A:A=C9)*
  (Master_Konversi_Satuan!C:C=E9),
  Master_Konversi_Satuan!E:E
)</f>
        <v>680000</v>
      </c>
      <c r="J9">
        <f t="shared" si="0"/>
        <v>680000</v>
      </c>
    </row>
    <row r="10" spans="1:13" x14ac:dyDescent="0.25">
      <c r="A10" s="10">
        <v>46025</v>
      </c>
      <c r="B10" s="1" t="s">
        <v>88</v>
      </c>
      <c r="C10" s="1" t="s">
        <v>49</v>
      </c>
      <c r="D10" t="str">
        <f>IF(
 C10="",
 "",
 _xlfn.XLOOKUP(
   C10,
   Master_Barang!A:A,
   Master_Barang!B:B
 )
)</f>
        <v>Beras</v>
      </c>
      <c r="E10" t="s">
        <v>51</v>
      </c>
      <c r="F10">
        <v>70</v>
      </c>
      <c r="G10" cm="1">
        <f t="array" ref="G10">_xlfn.XLOOKUP(
  1,
  (Master_Konversi_Satuan!A:A=C10)*
  (Master_Konversi_Satuan!C:C=E10),
  Master_Konversi_Satuan!D:D
)</f>
        <v>1</v>
      </c>
      <c r="H10">
        <f>Tabel3[[#This Row],[Qty_Jual]]*Tabel3[[#This Row],[Konversi_ke_PCS]]</f>
        <v>70</v>
      </c>
      <c r="I10" cm="1">
        <f t="array" ref="I10">_xlfn.XLOOKUP(
  1,
  (Master_Konversi_Satuan!A:A=C10)*
  (Master_Konversi_Satuan!C:C=E10),
  Master_Konversi_Satuan!E:E
)</f>
        <v>13000</v>
      </c>
      <c r="J10">
        <f t="shared" si="0"/>
        <v>910000</v>
      </c>
    </row>
    <row r="11" spans="1:13" x14ac:dyDescent="0.25">
      <c r="A11" s="10">
        <v>46025</v>
      </c>
      <c r="B11" s="1" t="s">
        <v>89</v>
      </c>
      <c r="C11" s="1" t="s">
        <v>38</v>
      </c>
      <c r="D11" t="str">
        <f>IF(
 C11="",
 "",
 _xlfn.XLOOKUP(
   C11,
   Master_Barang!A:A,
   Master_Barang!B:B
 )
)</f>
        <v>Telur</v>
      </c>
      <c r="E11" t="s">
        <v>46</v>
      </c>
      <c r="F11">
        <v>40</v>
      </c>
      <c r="G11" cm="1">
        <f t="array" ref="G11">_xlfn.XLOOKUP(
  1,
  (Master_Konversi_Satuan!A:A=C11)*
  (Master_Konversi_Satuan!C:C=E11),
  Master_Konversi_Satuan!D:D
)</f>
        <v>1</v>
      </c>
      <c r="H11">
        <f>Tabel3[[#This Row],[Qty_Jual]]*Tabel3[[#This Row],[Konversi_ke_PCS]]</f>
        <v>40</v>
      </c>
      <c r="I11" cm="1">
        <f t="array" ref="I11">_xlfn.XLOOKUP(
  1,
  (Master_Konversi_Satuan!A:A=C11)*
  (Master_Konversi_Satuan!C:C=E11),
  Master_Konversi_Satuan!E:E
)</f>
        <v>1700</v>
      </c>
      <c r="J11">
        <f t="shared" si="0"/>
        <v>68000</v>
      </c>
    </row>
    <row r="23" spans="1:13" x14ac:dyDescent="0.25">
      <c r="A23" s="4"/>
      <c r="B23" s="4"/>
      <c r="C23" s="4"/>
      <c r="D23" s="4"/>
      <c r="E23" s="4"/>
      <c r="I23" s="4"/>
      <c r="J23" s="4"/>
      <c r="K23" s="4"/>
      <c r="L23" s="4"/>
      <c r="M23" s="4"/>
    </row>
    <row r="24" spans="1:13" x14ac:dyDescent="0.25">
      <c r="A24" s="10"/>
      <c r="B24" s="1"/>
      <c r="C24" s="1"/>
      <c r="D24" s="1"/>
      <c r="E24" s="1"/>
      <c r="I24" s="10"/>
      <c r="J24" s="1"/>
      <c r="K24" s="1"/>
      <c r="L24" s="1"/>
      <c r="M24" s="1"/>
    </row>
    <row r="25" spans="1:13" x14ac:dyDescent="0.25">
      <c r="A25" s="10"/>
      <c r="B25" s="1"/>
      <c r="C25" s="1"/>
      <c r="D25" s="1"/>
      <c r="E25" s="1"/>
      <c r="I25" s="10"/>
      <c r="J25" s="1"/>
      <c r="K25" s="1"/>
      <c r="L25" s="1"/>
      <c r="M25" s="1"/>
    </row>
    <row r="26" spans="1:13" x14ac:dyDescent="0.25">
      <c r="A26" s="10"/>
      <c r="B26" s="1"/>
      <c r="C26" s="1"/>
      <c r="D26" s="1"/>
      <c r="E26" s="1"/>
      <c r="I26" s="10"/>
      <c r="J26" s="1"/>
      <c r="K26" s="1"/>
      <c r="L26" s="1"/>
      <c r="M26" s="1"/>
    </row>
    <row r="29" spans="1:13" x14ac:dyDescent="0.25">
      <c r="A29" s="4"/>
      <c r="B29" s="4"/>
      <c r="C29" s="4"/>
      <c r="D29" s="4"/>
      <c r="E29" s="4"/>
    </row>
    <row r="30" spans="1:13" x14ac:dyDescent="0.25">
      <c r="A30" s="10"/>
      <c r="B30" s="1"/>
      <c r="C30" s="1"/>
      <c r="D30" s="1"/>
      <c r="E30" s="1"/>
    </row>
    <row r="31" spans="1:13" x14ac:dyDescent="0.25">
      <c r="A31" s="10"/>
      <c r="B31" s="1"/>
      <c r="C31" s="1"/>
      <c r="D31" s="1"/>
      <c r="E31" s="1"/>
    </row>
    <row r="32" spans="1:13" x14ac:dyDescent="0.25">
      <c r="A32" s="10"/>
      <c r="B32" s="1"/>
      <c r="C32" s="1"/>
      <c r="D32" s="1"/>
      <c r="E32" s="1"/>
    </row>
    <row r="33" spans="1:5" x14ac:dyDescent="0.25">
      <c r="A33" s="10"/>
      <c r="B33" s="1"/>
      <c r="C33" s="1"/>
      <c r="D33" s="1"/>
      <c r="E33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B1F5B8-DB2B-4628-89E5-3D3AC1817DEA}">
          <x14:formula1>
            <xm:f>Master_Dropdown!$B$3:$B$17</xm:f>
          </x14:formula1>
          <xm:sqref>E2:E11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ADE0-A3FF-4A2D-9937-C8DA9172E899}">
  <dimension ref="A1:E16"/>
  <sheetViews>
    <sheetView workbookViewId="0">
      <selection activeCell="D14" sqref="D14"/>
    </sheetView>
  </sheetViews>
  <sheetFormatPr defaultRowHeight="15" x14ac:dyDescent="0.25"/>
  <cols>
    <col min="1" max="1" width="14.7109375" customWidth="1"/>
    <col min="2" max="2" width="15.28515625" customWidth="1"/>
    <col min="3" max="3" width="17" customWidth="1"/>
    <col min="4" max="4" width="16.5703125" customWidth="1"/>
    <col min="5" max="5" width="13.42578125" customWidth="1"/>
  </cols>
  <sheetData>
    <row r="1" spans="1:5" x14ac:dyDescent="0.25">
      <c r="A1" t="s">
        <v>0</v>
      </c>
      <c r="B1" t="s">
        <v>1</v>
      </c>
      <c r="C1" t="s">
        <v>32</v>
      </c>
      <c r="D1" t="s">
        <v>4</v>
      </c>
      <c r="E1" t="s">
        <v>33</v>
      </c>
    </row>
    <row r="2" spans="1:5" x14ac:dyDescent="0.25">
      <c r="A2" t="str">
        <f>IF(Master_Barang!A2="","",Master_Barang!A2)</f>
        <v>BR01</v>
      </c>
      <c r="B2" t="str">
        <f>IF(A2="","",_xlfn.XLOOKUP(A2,Master_Barang!A:A,Master_Barang!B:B))</f>
        <v>Telur</v>
      </c>
      <c r="C2">
        <f>IF(
 A2="",
 "",
 SUMIFS(Barang_Masuk!H:H,Barang_Masuk!C:C,A2)
 -
 SUMIFS(Penjualan!H:H,Penjualan!C:C,A2)
)</f>
        <v>150</v>
      </c>
      <c r="D2">
        <f>IF(A2="","",_xlfn.XLOOKUP(A2,Master_Barang!A:A,Master_Barang!E:E))</f>
        <v>50</v>
      </c>
      <c r="E2" t="str">
        <f>IF(
 A2="",
 "",
 IF(
   C2&lt;=0,
   "HABIS",
   IF(C2&lt;=D2,"MENIPIS","AMAN")
 )
)</f>
        <v>AMAN</v>
      </c>
    </row>
    <row r="3" spans="1:5" x14ac:dyDescent="0.25">
      <c r="A3" t="str">
        <f>IF(Master_Barang!A3="","",Master_Barang!A3)</f>
        <v>BR02</v>
      </c>
      <c r="B3" t="str">
        <f>IF(A3="","",_xlfn.XLOOKUP(A3,Master_Barang!A:A,Master_Barang!B:B))</f>
        <v>Gula</v>
      </c>
      <c r="C3">
        <f>IF(
 A3="",
 "",
 SUMIFS(Barang_Masuk!H:H,Barang_Masuk!C:C,A3)
 -
 SUMIFS(Penjualan!H:H,Penjualan!C:C,A3)
)</f>
        <v>30</v>
      </c>
      <c r="D3">
        <f>IF(A3="","",_xlfn.XLOOKUP(A3,Master_Barang!A:A,Master_Barang!E:E))</f>
        <v>20</v>
      </c>
      <c r="E3" t="str">
        <f t="shared" ref="E3:E16" si="0">IF(
 A3="",
 "",
 IF(
   C3&lt;=0,
   "HABIS",
   IF(C3&lt;=D3,"MENIPIS","AMAN")
 )
)</f>
        <v>AMAN</v>
      </c>
    </row>
    <row r="4" spans="1:5" x14ac:dyDescent="0.25">
      <c r="A4" t="str">
        <f>IF(Master_Barang!A4="","",Master_Barang!A4)</f>
        <v>BR03</v>
      </c>
      <c r="B4" t="str">
        <f>IF(A4="","",_xlfn.XLOOKUP(A4,Master_Barang!A:A,Master_Barang!B:B))</f>
        <v>Beras</v>
      </c>
      <c r="C4">
        <f>IF(
 A4="",
 "",
 SUMIFS(Barang_Masuk!H:H,Barang_Masuk!C:C,A4)
 -
 SUMIFS(Penjualan!H:H,Penjualan!C:C,A4)
)</f>
        <v>105</v>
      </c>
      <c r="D4">
        <f>IF(A4="","",_xlfn.XLOOKUP(A4,Master_Barang!A:A,Master_Barang!E:E))</f>
        <v>100</v>
      </c>
      <c r="E4" t="str">
        <f t="shared" si="0"/>
        <v>AMAN</v>
      </c>
    </row>
    <row r="5" spans="1:5" x14ac:dyDescent="0.25">
      <c r="A5" t="str">
        <f>IF(Master_Barang!A5="","",Master_Barang!A5)</f>
        <v>BR04</v>
      </c>
      <c r="B5" t="str">
        <f>IF(A5="","",_xlfn.XLOOKUP(A5,Master_Barang!A:A,Master_Barang!B:B))</f>
        <v>Minyak</v>
      </c>
      <c r="C5">
        <f>IF(
 A5="",
 "",
 SUMIFS(Barang_Masuk!H:H,Barang_Masuk!C:C,A5)
 -
 SUMIFS(Penjualan!H:H,Penjualan!C:C,A5)
)</f>
        <v>20</v>
      </c>
      <c r="D5">
        <f>IF(A5="","",_xlfn.XLOOKUP(A5,Master_Barang!A:A,Master_Barang!E:E))</f>
        <v>30</v>
      </c>
      <c r="E5" t="str">
        <f t="shared" si="0"/>
        <v>MENIPIS</v>
      </c>
    </row>
    <row r="6" spans="1:5" x14ac:dyDescent="0.25">
      <c r="A6" t="str">
        <f>IF(Master_Barang!A6="","",Master_Barang!A6)</f>
        <v>BR05</v>
      </c>
      <c r="B6" t="str">
        <f>IF(A6="","",_xlfn.XLOOKUP(A6,Master_Barang!A:A,Master_Barang!B:B))</f>
        <v>Kopi</v>
      </c>
      <c r="C6">
        <f>IF(
 A6="",
 "",
 SUMIFS(Barang_Masuk!H:H,Barang_Masuk!C:C,A6)
 -
 SUMIFS(Penjualan!H:H,Penjualan!C:C,A6)
)</f>
        <v>80</v>
      </c>
      <c r="D6">
        <f>IF(A6="","",_xlfn.XLOOKUP(A6,Master_Barang!A:A,Master_Barang!E:E))</f>
        <v>40</v>
      </c>
      <c r="E6" t="str">
        <f t="shared" si="0"/>
        <v>AMAN</v>
      </c>
    </row>
    <row r="7" spans="1:5" x14ac:dyDescent="0.25">
      <c r="A7" t="str">
        <f>IF(Master_Barang!A7="","",Master_Barang!A7)</f>
        <v>BR06</v>
      </c>
      <c r="B7" t="str">
        <f>IF(A7="","",_xlfn.XLOOKUP(A7,Master_Barang!A:A,Master_Barang!B:B))</f>
        <v>Teh</v>
      </c>
      <c r="C7">
        <f>IF(
 A7="",
 "",
 SUMIFS(Barang_Masuk!H:H,Barang_Masuk!C:C,A7)
 -
 SUMIFS(Penjualan!H:H,Penjualan!C:C,A7)
)</f>
        <v>90</v>
      </c>
      <c r="D7">
        <f>IF(A7="","",_xlfn.XLOOKUP(A7,Master_Barang!A:A,Master_Barang!E:E))</f>
        <v>40</v>
      </c>
      <c r="E7" t="str">
        <f t="shared" si="0"/>
        <v>AMAN</v>
      </c>
    </row>
    <row r="8" spans="1:5" x14ac:dyDescent="0.25">
      <c r="A8" t="str">
        <f>IF(Master_Barang!A8="","",Master_Barang!A8)</f>
        <v/>
      </c>
      <c r="B8" t="str">
        <f>IF(A8="","",_xlfn.XLOOKUP(A8,Master_Barang!A:A,Master_Barang!B:B))</f>
        <v/>
      </c>
      <c r="C8" t="str">
        <f>IF(
 A8="",
 "",
 SUMIFS(Barang_Masuk!H:H,Barang_Masuk!C:C,A8)
 -
 SUMIFS(Penjualan!H:H,Penjualan!C:C,A8)
)</f>
        <v/>
      </c>
      <c r="D8" t="str">
        <f>IF(A8="","",_xlfn.XLOOKUP(A8,Master_Barang!A:A,Master_Barang!E:E))</f>
        <v/>
      </c>
      <c r="E8" t="str">
        <f t="shared" si="0"/>
        <v/>
      </c>
    </row>
    <row r="9" spans="1:5" x14ac:dyDescent="0.25">
      <c r="A9" t="str">
        <f>IF(Master_Barang!A9="","",Master_Barang!A9)</f>
        <v/>
      </c>
      <c r="B9" t="str">
        <f>IF(A9="","",_xlfn.XLOOKUP(A9,Master_Barang!A:A,Master_Barang!B:B))</f>
        <v/>
      </c>
      <c r="C9" t="str">
        <f>IF(
 A9="",
 "",
 SUMIFS(Barang_Masuk!H:H,Barang_Masuk!C:C,A9)
 -
 SUMIFS(Penjualan!H:H,Penjualan!C:C,A9)
)</f>
        <v/>
      </c>
      <c r="D9" t="str">
        <f>IF(A9="","",_xlfn.XLOOKUP(A9,Master_Barang!A:A,Master_Barang!E:E))</f>
        <v/>
      </c>
      <c r="E9" t="str">
        <f t="shared" si="0"/>
        <v/>
      </c>
    </row>
    <row r="10" spans="1:5" x14ac:dyDescent="0.25">
      <c r="A10" t="str">
        <f>IF(Master_Barang!A10="","",Master_Barang!A10)</f>
        <v/>
      </c>
      <c r="B10" t="str">
        <f>IF(A10="","",_xlfn.XLOOKUP(A10,Master_Barang!A:A,Master_Barang!B:B))</f>
        <v/>
      </c>
      <c r="C10" t="str">
        <f>IF(
 A10="",
 "",
 SUMIFS(Barang_Masuk!H:H,Barang_Masuk!C:C,A10)
 -
 SUMIFS(Penjualan!H:H,Penjualan!C:C,A10)
)</f>
        <v/>
      </c>
      <c r="D10" t="str">
        <f>IF(A10="","",_xlfn.XLOOKUP(A10,Master_Barang!A:A,Master_Barang!E:E))</f>
        <v/>
      </c>
      <c r="E10" t="str">
        <f t="shared" si="0"/>
        <v/>
      </c>
    </row>
    <row r="11" spans="1:5" x14ac:dyDescent="0.25">
      <c r="A11" t="str">
        <f>IF(Master_Barang!A11="","",Master_Barang!A11)</f>
        <v/>
      </c>
      <c r="B11" t="str">
        <f>IF(A11="","",_xlfn.XLOOKUP(A11,Master_Barang!A:A,Master_Barang!B:B))</f>
        <v/>
      </c>
      <c r="C11" t="str">
        <f>IF(
 A11="",
 "",
 SUMIFS(Barang_Masuk!H:H,Barang_Masuk!C:C,A11)
 -
 SUMIFS(Penjualan!H:H,Penjualan!C:C,A11)
)</f>
        <v/>
      </c>
      <c r="D11" t="str">
        <f>IF(A11="","",_xlfn.XLOOKUP(A11,Master_Barang!A:A,Master_Barang!E:E))</f>
        <v/>
      </c>
      <c r="E11" t="str">
        <f t="shared" si="0"/>
        <v/>
      </c>
    </row>
    <row r="12" spans="1:5" x14ac:dyDescent="0.25">
      <c r="A12" t="str">
        <f>IF(Master_Barang!A12="","",Master_Barang!A12)</f>
        <v/>
      </c>
      <c r="B12" t="str">
        <f>IF(A12="","",_xlfn.XLOOKUP(A12,Master_Barang!A:A,Master_Barang!B:B))</f>
        <v/>
      </c>
      <c r="C12" t="str">
        <f>IF(
 A12="",
 "",
 SUMIFS(Barang_Masuk!H:H,Barang_Masuk!C:C,A12)
 -
 SUMIFS(Penjualan!H:H,Penjualan!C:C,A12)
)</f>
        <v/>
      </c>
      <c r="D12" t="str">
        <f>IF(A12="","",_xlfn.XLOOKUP(A12,Master_Barang!A:A,Master_Barang!E:E))</f>
        <v/>
      </c>
      <c r="E12" t="str">
        <f t="shared" si="0"/>
        <v/>
      </c>
    </row>
    <row r="13" spans="1:5" x14ac:dyDescent="0.25">
      <c r="A13" t="str">
        <f>IF(Master_Barang!A13="","",Master_Barang!A13)</f>
        <v/>
      </c>
      <c r="B13" t="str">
        <f>IF(A13="","",_xlfn.XLOOKUP(A13,Master_Barang!A:A,Master_Barang!B:B))</f>
        <v/>
      </c>
      <c r="C13" t="str">
        <f>IF(
 A13="",
 "",
 SUMIFS(Barang_Masuk!H:H,Barang_Masuk!C:C,A13)
 -
 SUMIFS(Penjualan!H:H,Penjualan!C:C,A13)
)</f>
        <v/>
      </c>
      <c r="D13" t="str">
        <f>IF(A13="","",_xlfn.XLOOKUP(A13,Master_Barang!A:A,Master_Barang!E:E))</f>
        <v/>
      </c>
      <c r="E13" t="str">
        <f t="shared" si="0"/>
        <v/>
      </c>
    </row>
    <row r="14" spans="1:5" x14ac:dyDescent="0.25">
      <c r="A14" t="str">
        <f>IF(Master_Barang!A14="","",Master_Barang!A14)</f>
        <v/>
      </c>
      <c r="B14" t="str">
        <f>IF(A14="","",_xlfn.XLOOKUP(A14,Master_Barang!A:A,Master_Barang!B:B))</f>
        <v/>
      </c>
      <c r="C14" t="str">
        <f>IF(
 A14="",
 "",
 SUMIFS(Barang_Masuk!H:H,Barang_Masuk!C:C,A14)
 -
 SUMIFS(Penjualan!H:H,Penjualan!C:C,A14)
)</f>
        <v/>
      </c>
      <c r="D14" t="str">
        <f>IF(A14="","",_xlfn.XLOOKUP(A14,Master_Barang!A:A,Master_Barang!E:E))</f>
        <v/>
      </c>
      <c r="E14" t="str">
        <f t="shared" si="0"/>
        <v/>
      </c>
    </row>
    <row r="15" spans="1:5" x14ac:dyDescent="0.25">
      <c r="A15" t="str">
        <f>IF(Master_Barang!A15="","",Master_Barang!A15)</f>
        <v/>
      </c>
      <c r="B15" t="str">
        <f>IF(A15="","",_xlfn.XLOOKUP(A15,Master_Barang!A:A,Master_Barang!B:B))</f>
        <v/>
      </c>
      <c r="C15" t="str">
        <f>IF(
 A15="",
 "",
 SUMIFS(Barang_Masuk!H:H,Barang_Masuk!C:C,A15)
 -
 SUMIFS(Penjualan!H:H,Penjualan!C:C,A15)
)</f>
        <v/>
      </c>
      <c r="D15" t="str">
        <f>IF(A15="","",_xlfn.XLOOKUP(A15,Master_Barang!A:A,Master_Barang!E:E))</f>
        <v/>
      </c>
      <c r="E15" t="str">
        <f>IF(
 A15="",
 "",
 IF(
   C15&lt;=0,
   "HABIS",
   IF(C15&lt;=D15,"MENIPIS","AMAN")
 )
)</f>
        <v/>
      </c>
    </row>
    <row r="16" spans="1:5" x14ac:dyDescent="0.25">
      <c r="A16" t="str">
        <f>IF(Master_Barang!A16="","",Master_Barang!A16)</f>
        <v/>
      </c>
      <c r="B16" t="str">
        <f>IF(A16="","",_xlfn.XLOOKUP(A16,Master_Barang!A:A,Master_Barang!B:B))</f>
        <v/>
      </c>
      <c r="C16" t="str">
        <f>IF(
 A16="",
 "",
 SUMIFS(Barang_Masuk!H:H,Barang_Masuk!C:C,A16)
 -
 SUMIFS(Penjualan!H:H,Penjualan!C:C,A16)
)</f>
        <v/>
      </c>
      <c r="D16" t="str">
        <f>IF(A16="","",_xlfn.XLOOKUP(A16,Master_Barang!A:A,Master_Barang!E:E))</f>
        <v/>
      </c>
      <c r="E16" t="str">
        <f t="shared" si="0"/>
        <v/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207B-6176-4109-A2F4-E8E067CB668B}">
  <dimension ref="A1:F19"/>
  <sheetViews>
    <sheetView workbookViewId="0">
      <selection activeCell="D25" sqref="D25"/>
    </sheetView>
  </sheetViews>
  <sheetFormatPr defaultRowHeight="15" x14ac:dyDescent="0.25"/>
  <cols>
    <col min="1" max="1" width="10.7109375" style="7" bestFit="1" customWidth="1"/>
    <col min="2" max="2" width="14.7109375" customWidth="1"/>
    <col min="3" max="3" width="15.28515625" customWidth="1"/>
    <col min="4" max="4" width="17.7109375" customWidth="1"/>
    <col min="5" max="5" width="17.42578125" style="9" customWidth="1"/>
    <col min="6" max="6" width="9.85546875" customWidth="1"/>
  </cols>
  <sheetData>
    <row r="1" spans="1:6" x14ac:dyDescent="0.25">
      <c r="A1" s="7" t="s">
        <v>12</v>
      </c>
      <c r="B1" t="s">
        <v>0</v>
      </c>
      <c r="C1" t="s">
        <v>1</v>
      </c>
      <c r="D1" t="s">
        <v>34</v>
      </c>
      <c r="E1" s="9" t="s">
        <v>24</v>
      </c>
      <c r="F1" t="s">
        <v>37</v>
      </c>
    </row>
    <row r="2" spans="1:6" x14ac:dyDescent="0.25">
      <c r="A2" s="7">
        <f>IF(Penjualan!A2="","",Penjualan!A2)</f>
        <v>46023</v>
      </c>
      <c r="B2" t="str">
        <f>IF(A2="","",Penjualan!C2)</f>
        <v>BR01</v>
      </c>
      <c r="C2" t="str">
        <f>IF(A2="","",Penjualan!D2)</f>
        <v>Telur</v>
      </c>
      <c r="D2">
        <f>IF(A2="","",Penjualan!H2)</f>
        <v>20</v>
      </c>
      <c r="E2" s="9">
        <f>IF(A2="","",Penjualan!J2)</f>
        <v>34000</v>
      </c>
    </row>
    <row r="3" spans="1:6" x14ac:dyDescent="0.25">
      <c r="A3" s="7">
        <f>IF(Penjualan!A3="","",Penjualan!A3)</f>
        <v>46023</v>
      </c>
      <c r="B3" t="str">
        <f>IF(A3="","",Penjualan!C3)</f>
        <v>BR02</v>
      </c>
      <c r="C3" t="str">
        <f>IF(A3="","",Penjualan!D3)</f>
        <v>Gula</v>
      </c>
      <c r="D3">
        <f>IF(A3="","",Penjualan!H3)</f>
        <v>10</v>
      </c>
      <c r="E3" s="9">
        <f>IF(A3="","",Penjualan!J3)</f>
        <v>140000</v>
      </c>
    </row>
    <row r="4" spans="1:6" x14ac:dyDescent="0.25">
      <c r="A4" s="7">
        <f>IF(Penjualan!A4="","",Penjualan!A4)</f>
        <v>46023</v>
      </c>
      <c r="B4" t="str">
        <f>IF(A4="","",Penjualan!C4)</f>
        <v>BR05</v>
      </c>
      <c r="C4" t="str">
        <f>IF(A4="","",Penjualan!D4)</f>
        <v>Kopi</v>
      </c>
      <c r="D4">
        <f>IF(A4="","",Penjualan!H4)</f>
        <v>20</v>
      </c>
      <c r="E4" s="9">
        <f>IF(A4="","",Penjualan!J4)</f>
        <v>90000</v>
      </c>
    </row>
    <row r="5" spans="1:6" x14ac:dyDescent="0.25">
      <c r="A5" s="7">
        <f>IF(Penjualan!A5="","",Penjualan!A5)</f>
        <v>46024</v>
      </c>
      <c r="B5" t="str">
        <f>IF(A5="","",Penjualan!C5)</f>
        <v>BR03</v>
      </c>
      <c r="C5" t="str">
        <f>IF(A5="","",Penjualan!D5)</f>
        <v>Beras</v>
      </c>
      <c r="D5">
        <f>IF(A5="","",Penjualan!H5)</f>
        <v>50</v>
      </c>
      <c r="E5" s="9">
        <f>IF(A5="","",Penjualan!J5)</f>
        <v>650000</v>
      </c>
    </row>
    <row r="6" spans="1:6" x14ac:dyDescent="0.25">
      <c r="A6" s="7">
        <f>IF(Penjualan!A6="","",Penjualan!A6)</f>
        <v>46024</v>
      </c>
      <c r="B6" t="str">
        <f>IF(A6="","",Penjualan!C6)</f>
        <v>BR01</v>
      </c>
      <c r="C6" t="str">
        <f>IF(A6="","",Penjualan!D6)</f>
        <v>Telur</v>
      </c>
      <c r="D6">
        <f>IF(A6="","",Penjualan!H6)</f>
        <v>30</v>
      </c>
      <c r="E6" s="9">
        <f>IF(A6="","",Penjualan!J6)</f>
        <v>45000</v>
      </c>
    </row>
    <row r="7" spans="1:6" x14ac:dyDescent="0.25">
      <c r="A7" s="7">
        <f>IF(Penjualan!A7="","",Penjualan!A7)</f>
        <v>46024</v>
      </c>
      <c r="B7" t="str">
        <f>IF(A7="","",Penjualan!C7)</f>
        <v>BR04</v>
      </c>
      <c r="C7" t="str">
        <f>IF(A7="","",Penjualan!D7)</f>
        <v>Minyak</v>
      </c>
      <c r="D7">
        <f>IF(A7="","",Penjualan!H7)</f>
        <v>10</v>
      </c>
      <c r="E7" s="9">
        <f>IF(A7="","",Penjualan!J7)</f>
        <v>160000</v>
      </c>
    </row>
    <row r="8" spans="1:6" x14ac:dyDescent="0.25">
      <c r="A8" s="7">
        <f>IF(Penjualan!A8="","",Penjualan!A8)</f>
        <v>46024</v>
      </c>
      <c r="B8" t="str">
        <f>IF(A8="","",Penjualan!C8)</f>
        <v>BR06</v>
      </c>
      <c r="C8" t="str">
        <f>IF(A8="","",Penjualan!D8)</f>
        <v>Teh</v>
      </c>
      <c r="D8">
        <f>IF(A8="","",Penjualan!H8)</f>
        <v>20</v>
      </c>
      <c r="E8" s="9">
        <f>IF(A8="","",Penjualan!J8)</f>
        <v>80000</v>
      </c>
    </row>
    <row r="9" spans="1:6" x14ac:dyDescent="0.25">
      <c r="A9" s="7">
        <f>IF(Penjualan!A9="","",Penjualan!A9)</f>
        <v>46025</v>
      </c>
      <c r="B9" t="str">
        <f>IF(A9="","",Penjualan!C9)</f>
        <v>BR02</v>
      </c>
      <c r="C9" t="str">
        <f>IF(A9="","",Penjualan!D9)</f>
        <v>Gula</v>
      </c>
      <c r="D9">
        <f>IF(A9="","",Penjualan!H9)</f>
        <v>50</v>
      </c>
      <c r="E9" s="9">
        <f>IF(A9="","",Penjualan!J9)</f>
        <v>680000</v>
      </c>
    </row>
    <row r="10" spans="1:6" x14ac:dyDescent="0.25">
      <c r="A10" s="7">
        <f>IF(Penjualan!A10="","",Penjualan!A10)</f>
        <v>46025</v>
      </c>
      <c r="B10" t="str">
        <f>IF(A10="","",Penjualan!C10)</f>
        <v>BR03</v>
      </c>
      <c r="C10" t="str">
        <f>IF(A10="","",Penjualan!D10)</f>
        <v>Beras</v>
      </c>
      <c r="D10">
        <f>IF(A10="","",Penjualan!H10)</f>
        <v>70</v>
      </c>
      <c r="E10" s="9">
        <f>IF(A10="","",Penjualan!J10)</f>
        <v>910000</v>
      </c>
    </row>
    <row r="11" spans="1:6" x14ac:dyDescent="0.25">
      <c r="A11" s="7">
        <f>IF(Penjualan!A11="","",Penjualan!A11)</f>
        <v>46025</v>
      </c>
      <c r="B11" t="str">
        <f>IF(A11="","",Penjualan!C11)</f>
        <v>BR01</v>
      </c>
      <c r="C11" t="str">
        <f>IF(A11="","",Penjualan!D11)</f>
        <v>Telur</v>
      </c>
      <c r="D11">
        <f>IF(A11="","",Penjualan!H11)</f>
        <v>40</v>
      </c>
      <c r="E11" s="9">
        <f>IF(A11="","",Penjualan!J11)</f>
        <v>68000</v>
      </c>
    </row>
    <row r="12" spans="1:6" x14ac:dyDescent="0.25">
      <c r="A12" s="7" t="str">
        <f>IF(Penjualan!A12="","",Penjualan!A12)</f>
        <v/>
      </c>
      <c r="B12" t="str">
        <f>IF(A12="","",Penjualan!C12)</f>
        <v/>
      </c>
      <c r="C12" t="str">
        <f>IF(A12="","",Penjualan!D12)</f>
        <v/>
      </c>
      <c r="D12" t="str">
        <f>IF(A12="","",Penjualan!H12)</f>
        <v/>
      </c>
      <c r="E12" s="9" t="str">
        <f>IF(A12="","",Penjualan!J12)</f>
        <v/>
      </c>
    </row>
    <row r="13" spans="1:6" x14ac:dyDescent="0.25">
      <c r="A13" s="7" t="str">
        <f>IF(Penjualan!A13="","",Penjualan!A13)</f>
        <v/>
      </c>
      <c r="B13" t="str">
        <f>IF(A13="","",Penjualan!C13)</f>
        <v/>
      </c>
      <c r="C13" t="str">
        <f>IF(A13="","",Penjualan!D13)</f>
        <v/>
      </c>
      <c r="D13" t="str">
        <f>IF(A13="","",Penjualan!H13)</f>
        <v/>
      </c>
      <c r="E13" s="9" t="str">
        <f>IF(A13="","",Penjualan!J13)</f>
        <v/>
      </c>
    </row>
    <row r="14" spans="1:6" x14ac:dyDescent="0.25">
      <c r="A14" s="7" t="str">
        <f>IF(Penjualan!A14="","",Penjualan!A14)</f>
        <v/>
      </c>
      <c r="B14" t="str">
        <f>IF(A14="","",Penjualan!C14)</f>
        <v/>
      </c>
      <c r="C14" t="str">
        <f>IF(A14="","",Penjualan!D14)</f>
        <v/>
      </c>
      <c r="D14" t="str">
        <f>IF(A14="","",Penjualan!H14)</f>
        <v/>
      </c>
      <c r="E14" s="9" t="str">
        <f>IF(A14="","",Penjualan!J14)</f>
        <v/>
      </c>
    </row>
    <row r="15" spans="1:6" x14ac:dyDescent="0.25">
      <c r="A15" s="7" t="str">
        <f>IF(Penjualan!A15="","",Penjualan!A15)</f>
        <v/>
      </c>
      <c r="B15" t="str">
        <f>IF(A15="","",Penjualan!C15)</f>
        <v/>
      </c>
      <c r="C15" t="str">
        <f>IF(A15="","",Penjualan!D15)</f>
        <v/>
      </c>
      <c r="D15" t="str">
        <f>IF(A15="","",Penjualan!H15)</f>
        <v/>
      </c>
      <c r="E15" s="9" t="str">
        <f>IF(A15="","",Penjualan!J15)</f>
        <v/>
      </c>
    </row>
    <row r="16" spans="1:6" x14ac:dyDescent="0.25">
      <c r="A16" s="7" t="str">
        <f>IF(Penjualan!A16="","",Penjualan!A16)</f>
        <v/>
      </c>
      <c r="B16" t="str">
        <f>IF(A16="","",Penjualan!C16)</f>
        <v/>
      </c>
      <c r="C16" t="str">
        <f>IF(A16="","",Penjualan!D16)</f>
        <v/>
      </c>
      <c r="D16" t="str">
        <f>IF(A16="","",Penjualan!H16)</f>
        <v/>
      </c>
      <c r="E16" s="9" t="str">
        <f>IF(A16="","",Penjualan!J16)</f>
        <v/>
      </c>
    </row>
    <row r="17" spans="2:5" x14ac:dyDescent="0.25">
      <c r="B17" t="str">
        <f>IF(A17="","",Penjualan!C17)</f>
        <v/>
      </c>
      <c r="C17" t="str">
        <f>IF(A17="","",Penjualan!D17)</f>
        <v/>
      </c>
      <c r="D17" t="str">
        <f>IF(A17="","",Penjualan!H17)</f>
        <v/>
      </c>
      <c r="E17" s="9" t="str">
        <f>IF(A17="","",Penjualan!J17)</f>
        <v/>
      </c>
    </row>
    <row r="18" spans="2:5" x14ac:dyDescent="0.25">
      <c r="B18" t="str">
        <f>IF(A18="","",Penjualan!C18)</f>
        <v/>
      </c>
      <c r="C18" t="str">
        <f>IF(A18="","",Penjualan!D18)</f>
        <v/>
      </c>
      <c r="D18" t="str">
        <f>IF(A18="","",Penjualan!H18)</f>
        <v/>
      </c>
      <c r="E18" s="9" t="str">
        <f>IF(A18="","",Penjualan!J18)</f>
        <v/>
      </c>
    </row>
    <row r="19" spans="2:5" x14ac:dyDescent="0.25">
      <c r="B19" t="str">
        <f>IF(A19="","",Penjualan!C19)</f>
        <v/>
      </c>
      <c r="C19" t="str">
        <f>IF(A19="","",Penjualan!D19)</f>
        <v/>
      </c>
      <c r="D19" t="str">
        <f>IF(A19="","",Penjualan!H19)</f>
        <v/>
      </c>
      <c r="E19" s="9" t="str">
        <f>IF(A19="","",Penjualan!J19)</f>
        <v/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DE15-1FB6-4062-80F1-BA0AE1923DC3}">
  <dimension ref="A1:I13"/>
  <sheetViews>
    <sheetView tabSelected="1" workbookViewId="0">
      <selection activeCell="I25" sqref="I25"/>
    </sheetView>
  </sheetViews>
  <sheetFormatPr defaultRowHeight="15" x14ac:dyDescent="0.25"/>
  <cols>
    <col min="1" max="1" width="10.7109375" style="7" bestFit="1" customWidth="1"/>
    <col min="2" max="2" width="15.7109375" customWidth="1"/>
    <col min="3" max="3" width="15.28515625" customWidth="1"/>
    <col min="4" max="4" width="17.42578125" customWidth="1"/>
    <col min="5" max="5" width="17.7109375" customWidth="1"/>
    <col min="6" max="6" width="17.42578125" style="9" customWidth="1"/>
    <col min="7" max="7" width="11" style="9" customWidth="1"/>
    <col min="8" max="8" width="12.140625" style="9" customWidth="1"/>
    <col min="9" max="9" width="13" style="9" customWidth="1"/>
  </cols>
  <sheetData>
    <row r="1" spans="1:9" x14ac:dyDescent="0.25">
      <c r="A1" s="7" t="s">
        <v>12</v>
      </c>
      <c r="B1" t="s">
        <v>27</v>
      </c>
      <c r="C1" t="s">
        <v>0</v>
      </c>
      <c r="D1" t="s">
        <v>1</v>
      </c>
      <c r="E1" t="s">
        <v>34</v>
      </c>
      <c r="F1" s="9" t="s">
        <v>24</v>
      </c>
      <c r="G1" s="9" t="s">
        <v>31</v>
      </c>
      <c r="H1" s="9" t="s">
        <v>35</v>
      </c>
      <c r="I1" s="9" t="s">
        <v>36</v>
      </c>
    </row>
    <row r="2" spans="1:9" x14ac:dyDescent="0.25">
      <c r="A2" s="7">
        <f>IF(Penjualan!A2="","",Penjualan!A2)</f>
        <v>46023</v>
      </c>
      <c r="B2" t="str">
        <f>IF(A2="","",Penjualan!B2)</f>
        <v>PJ01</v>
      </c>
      <c r="C2" t="str">
        <f>IF(A2="","",Penjualan!C2)</f>
        <v>BR01</v>
      </c>
      <c r="D2" t="str">
        <f>IF(A2="","",Penjualan!D2)</f>
        <v>Telur</v>
      </c>
      <c r="E2">
        <f>IF(A2="","",Penjualan!H2)</f>
        <v>20</v>
      </c>
      <c r="F2" s="9">
        <f>IF(A2="","",Penjualan!J2)</f>
        <v>34000</v>
      </c>
      <c r="G2" s="9">
        <f>IF(
 C2="",
 "",
 _xlfn.XLOOKUP(
   C2,
   HPP_Sederhana!A:A,
   HPP_Sederhana!G:G
 )
)</f>
        <v>1466.6666666666667</v>
      </c>
      <c r="H2" s="9">
        <f>IF(
 E2="",
 "",
 E2 * G2
)</f>
        <v>29333.333333333336</v>
      </c>
      <c r="I2" s="9">
        <f>IF(
 F2="",
 "",
 F2 - H2
)</f>
        <v>4666.6666666666642</v>
      </c>
    </row>
    <row r="3" spans="1:9" x14ac:dyDescent="0.25">
      <c r="A3" s="7">
        <f>IF(Penjualan!A3="","",Penjualan!A3)</f>
        <v>46023</v>
      </c>
      <c r="B3" t="str">
        <f>IF(A3="","",Penjualan!B3)</f>
        <v>PJ02</v>
      </c>
      <c r="C3" t="str">
        <f>IF(A3="","",Penjualan!C3)</f>
        <v>BR02</v>
      </c>
      <c r="D3" t="str">
        <f>IF(A3="","",Penjualan!D3)</f>
        <v>Gula</v>
      </c>
      <c r="E3">
        <f>IF(A3="","",Penjualan!H3)</f>
        <v>10</v>
      </c>
      <c r="F3" s="9">
        <f>IF(A3="","",Penjualan!J3)</f>
        <v>140000</v>
      </c>
      <c r="G3" s="9">
        <f>IF(
 C3="",
 "",
 _xlfn.XLOOKUP(
   C3,
   HPP_Sederhana!A:A,
   HPP_Sederhana!G:G
 )
)</f>
        <v>12611.111111111111</v>
      </c>
      <c r="H3" s="9">
        <f t="shared" ref="H3:H12" si="0">IF(
 E3="",
 "",
 E3 * G3
)</f>
        <v>126111.11111111111</v>
      </c>
      <c r="I3" s="9">
        <f t="shared" ref="I3:I12" si="1">IF(
 F3="",
 "",
 F3 - H3
)</f>
        <v>13888.888888888891</v>
      </c>
    </row>
    <row r="4" spans="1:9" x14ac:dyDescent="0.25">
      <c r="A4" s="7">
        <f>IF(Penjualan!A4="","",Penjualan!A4)</f>
        <v>46023</v>
      </c>
      <c r="B4" t="str">
        <f>IF(A4="","",Penjualan!B4)</f>
        <v>PJ03</v>
      </c>
      <c r="C4" t="str">
        <f>IF(A4="","",Penjualan!C4)</f>
        <v>BR05</v>
      </c>
      <c r="D4" t="str">
        <f>IF(A4="","",Penjualan!D4)</f>
        <v>Kopi</v>
      </c>
      <c r="E4">
        <f>IF(A4="","",Penjualan!H4)</f>
        <v>20</v>
      </c>
      <c r="F4" s="9">
        <f>IF(A4="","",Penjualan!J4)</f>
        <v>90000</v>
      </c>
      <c r="G4" s="9">
        <f>IF(
 C4="",
 "",
 _xlfn.XLOOKUP(
   C4,
   HPP_Sederhana!A:A,
   HPP_Sederhana!G:G
 )
)</f>
        <v>3900</v>
      </c>
      <c r="H4" s="9">
        <f t="shared" si="0"/>
        <v>78000</v>
      </c>
      <c r="I4" s="9">
        <f t="shared" si="1"/>
        <v>12000</v>
      </c>
    </row>
    <row r="5" spans="1:9" x14ac:dyDescent="0.25">
      <c r="A5" s="7">
        <f>IF(Penjualan!A5="","",Penjualan!A5)</f>
        <v>46024</v>
      </c>
      <c r="B5" t="str">
        <f>IF(A5="","",Penjualan!B5)</f>
        <v>PJ04</v>
      </c>
      <c r="C5" t="str">
        <f>IF(A5="","",Penjualan!C5)</f>
        <v>BR03</v>
      </c>
      <c r="D5" t="str">
        <f>IF(A5="","",Penjualan!D5)</f>
        <v>Beras</v>
      </c>
      <c r="E5">
        <f>IF(A5="","",Penjualan!H5)</f>
        <v>50</v>
      </c>
      <c r="F5" s="9">
        <f>IF(A5="","",Penjualan!J5)</f>
        <v>650000</v>
      </c>
      <c r="G5" s="9">
        <f>IF(
 C5="",
 "",
 _xlfn.XLOOKUP(
   C5,
   HPP_Sederhana!A:A,
   HPP_Sederhana!G:G
 )
)</f>
        <v>12088.888888888889</v>
      </c>
      <c r="H5" s="9">
        <f t="shared" si="0"/>
        <v>604444.44444444438</v>
      </c>
      <c r="I5" s="9">
        <f t="shared" si="1"/>
        <v>45555.55555555562</v>
      </c>
    </row>
    <row r="6" spans="1:9" x14ac:dyDescent="0.25">
      <c r="A6" s="7">
        <f>IF(Penjualan!A6="","",Penjualan!A6)</f>
        <v>46024</v>
      </c>
      <c r="B6" t="str">
        <f>IF(A6="","",Penjualan!B6)</f>
        <v>PJ05</v>
      </c>
      <c r="C6" t="str">
        <f>IF(A6="","",Penjualan!C6)</f>
        <v>BR01</v>
      </c>
      <c r="D6" t="str">
        <f>IF(A6="","",Penjualan!D6)</f>
        <v>Telur</v>
      </c>
      <c r="E6">
        <f>IF(A6="","",Penjualan!H6)</f>
        <v>30</v>
      </c>
      <c r="F6" s="9">
        <f>IF(A6="","",Penjualan!J6)</f>
        <v>45000</v>
      </c>
      <c r="G6" s="9">
        <f>IF(
 C6="",
 "",
 _xlfn.XLOOKUP(
   C6,
   HPP_Sederhana!A:A,
   HPP_Sederhana!G:G
 )
)</f>
        <v>1466.6666666666667</v>
      </c>
      <c r="H6" s="9">
        <f t="shared" si="0"/>
        <v>44000</v>
      </c>
      <c r="I6" s="9">
        <f t="shared" si="1"/>
        <v>1000</v>
      </c>
    </row>
    <row r="7" spans="1:9" x14ac:dyDescent="0.25">
      <c r="A7" s="7">
        <f>IF(Penjualan!A7="","",Penjualan!A7)</f>
        <v>46024</v>
      </c>
      <c r="B7" t="str">
        <f>IF(A7="","",Penjualan!B7)</f>
        <v>PJ06</v>
      </c>
      <c r="C7" t="str">
        <f>IF(A7="","",Penjualan!C7)</f>
        <v>BR04</v>
      </c>
      <c r="D7" t="str">
        <f>IF(A7="","",Penjualan!D7)</f>
        <v>Minyak</v>
      </c>
      <c r="E7">
        <f>IF(A7="","",Penjualan!H7)</f>
        <v>10</v>
      </c>
      <c r="F7" s="9">
        <f>IF(A7="","",Penjualan!J7)</f>
        <v>160000</v>
      </c>
      <c r="G7" s="9">
        <f>IF(
 C7="",
 "",
 _xlfn.XLOOKUP(
   C7,
   HPP_Sederhana!A:A,
   HPP_Sederhana!G:G
 )
)</f>
        <v>13666.666666666666</v>
      </c>
      <c r="H7" s="9">
        <f t="shared" si="0"/>
        <v>136666.66666666666</v>
      </c>
      <c r="I7" s="9">
        <f t="shared" si="1"/>
        <v>23333.333333333343</v>
      </c>
    </row>
    <row r="8" spans="1:9" x14ac:dyDescent="0.25">
      <c r="A8" s="7">
        <f>IF(Penjualan!A8="","",Penjualan!A8)</f>
        <v>46024</v>
      </c>
      <c r="B8" t="str">
        <f>IF(A8="","",Penjualan!B8)</f>
        <v>PJ07</v>
      </c>
      <c r="C8" t="str">
        <f>IF(A8="","",Penjualan!C8)</f>
        <v>BR06</v>
      </c>
      <c r="D8" t="str">
        <f>IF(A8="","",Penjualan!D8)</f>
        <v>Teh</v>
      </c>
      <c r="E8">
        <f>IF(A8="","",Penjualan!H8)</f>
        <v>20</v>
      </c>
      <c r="F8" s="9">
        <f>IF(A8="","",Penjualan!J8)</f>
        <v>80000</v>
      </c>
      <c r="G8" s="9">
        <f>IF(
 C8="",
 "",
 _xlfn.XLOOKUP(
   C8,
   HPP_Sederhana!A:A,
   HPP_Sederhana!G:G
 )
)</f>
        <v>1772.7272727272727</v>
      </c>
      <c r="H8" s="9">
        <f t="shared" si="0"/>
        <v>35454.545454545456</v>
      </c>
      <c r="I8" s="9">
        <f t="shared" si="1"/>
        <v>44545.454545454544</v>
      </c>
    </row>
    <row r="9" spans="1:9" x14ac:dyDescent="0.25">
      <c r="A9" s="7">
        <f>IF(Penjualan!A9="","",Penjualan!A9)</f>
        <v>46025</v>
      </c>
      <c r="B9" t="str">
        <f>IF(A9="","",Penjualan!B9)</f>
        <v>PJ08</v>
      </c>
      <c r="C9" t="str">
        <f>IF(A9="","",Penjualan!C9)</f>
        <v>BR02</v>
      </c>
      <c r="D9" t="str">
        <f>IF(A9="","",Penjualan!D9)</f>
        <v>Gula</v>
      </c>
      <c r="E9">
        <f>IF(A9="","",Penjualan!H9)</f>
        <v>50</v>
      </c>
      <c r="F9" s="9">
        <f>IF(A9="","",Penjualan!J9)</f>
        <v>680000</v>
      </c>
      <c r="G9" s="9">
        <f>IF(
 C9="",
 "",
 _xlfn.XLOOKUP(
   C9,
   HPP_Sederhana!A:A,
   HPP_Sederhana!G:G
 )
)</f>
        <v>12611.111111111111</v>
      </c>
      <c r="H9" s="9">
        <f t="shared" si="0"/>
        <v>630555.55555555562</v>
      </c>
      <c r="I9" s="9">
        <f t="shared" si="1"/>
        <v>49444.44444444438</v>
      </c>
    </row>
    <row r="10" spans="1:9" x14ac:dyDescent="0.25">
      <c r="A10" s="7">
        <f>IF(Penjualan!A10="","",Penjualan!A10)</f>
        <v>46025</v>
      </c>
      <c r="B10" t="str">
        <f>IF(A10="","",Penjualan!B10)</f>
        <v>PJ09</v>
      </c>
      <c r="C10" t="str">
        <f>IF(A10="","",Penjualan!C10)</f>
        <v>BR03</v>
      </c>
      <c r="D10" t="str">
        <f>IF(A10="","",Penjualan!D10)</f>
        <v>Beras</v>
      </c>
      <c r="E10">
        <f>IF(A10="","",Penjualan!H10)</f>
        <v>70</v>
      </c>
      <c r="F10" s="9">
        <f>IF(A10="","",Penjualan!J10)</f>
        <v>910000</v>
      </c>
      <c r="G10" s="9">
        <f>IF(
 C10="",
 "",
 _xlfn.XLOOKUP(
   C10,
   HPP_Sederhana!A:A,
   HPP_Sederhana!G:G
 )
)</f>
        <v>12088.888888888889</v>
      </c>
      <c r="H10" s="9">
        <f t="shared" si="0"/>
        <v>846222.22222222225</v>
      </c>
      <c r="I10" s="9">
        <f t="shared" si="1"/>
        <v>63777.777777777752</v>
      </c>
    </row>
    <row r="11" spans="1:9" x14ac:dyDescent="0.25">
      <c r="A11" s="7">
        <f>IF(Penjualan!A11="","",Penjualan!A11)</f>
        <v>46025</v>
      </c>
      <c r="B11" t="str">
        <f>IF(A11="","",Penjualan!B11)</f>
        <v>PJ10</v>
      </c>
      <c r="C11" t="str">
        <f>IF(A11="","",Penjualan!C11)</f>
        <v>BR01</v>
      </c>
      <c r="D11" t="str">
        <f>IF(A11="","",Penjualan!D11)</f>
        <v>Telur</v>
      </c>
      <c r="E11">
        <f>IF(A11="","",Penjualan!H11)</f>
        <v>40</v>
      </c>
      <c r="F11" s="9">
        <f>IF(A11="","",Penjualan!J11)</f>
        <v>68000</v>
      </c>
      <c r="G11" s="9">
        <f>IF(
 C11="",
 "",
 _xlfn.XLOOKUP(
   C11,
   HPP_Sederhana!A:A,
   HPP_Sederhana!G:G
 )
)</f>
        <v>1466.6666666666667</v>
      </c>
      <c r="H11" s="9">
        <f t="shared" si="0"/>
        <v>58666.666666666672</v>
      </c>
      <c r="I11" s="9">
        <f t="shared" si="1"/>
        <v>9333.3333333333285</v>
      </c>
    </row>
    <row r="12" spans="1:9" x14ac:dyDescent="0.25">
      <c r="A12" s="7" t="str">
        <f>IF(Penjualan!A12="","",Penjualan!A12)</f>
        <v/>
      </c>
      <c r="B12" t="str">
        <f>IF(A12="","",Penjualan!B12)</f>
        <v/>
      </c>
      <c r="C12" t="str">
        <f>IF(A12="","",Penjualan!C12)</f>
        <v/>
      </c>
      <c r="D12" t="str">
        <f>IF(A12="","",Penjualan!D12)</f>
        <v/>
      </c>
      <c r="E12" t="str">
        <f>IF(A12="","",Penjualan!H12)</f>
        <v/>
      </c>
      <c r="F12" s="9" t="str">
        <f>IF(A12="","",Penjualan!J12)</f>
        <v/>
      </c>
      <c r="G12" s="9" t="str">
        <f>IF(
 C12="",
 "",
 _xlfn.XLOOKUP(
   C12,
   HPP_Sederhana!A:A,
   HPP_Sederhana!G:G
 )
)</f>
        <v/>
      </c>
      <c r="H12" s="9" t="str">
        <f t="shared" si="0"/>
        <v/>
      </c>
      <c r="I12" s="9" t="str">
        <f t="shared" si="1"/>
        <v/>
      </c>
    </row>
    <row r="13" spans="1:9" x14ac:dyDescent="0.25">
      <c r="A13" s="7" t="str">
        <f>IF(Penjualan!A13="","",Penjualan!A13)</f>
        <v/>
      </c>
      <c r="B13" t="str">
        <f>IF(A13="","",Penjualan!B13)</f>
        <v/>
      </c>
      <c r="C13" t="str">
        <f>IF(A13="","",Penjualan!C13)</f>
        <v/>
      </c>
      <c r="D13" t="str">
        <f>IF(A13="","",Penjualan!D13)</f>
        <v/>
      </c>
      <c r="E13" t="str">
        <f>IF(A13="","",Penjualan!H13)</f>
        <v/>
      </c>
      <c r="F13" s="9" t="str">
        <f>IF(A13="","",Penjualan!J13)</f>
        <v/>
      </c>
      <c r="G13" s="9" t="str">
        <f>IF(
 A13="",
 "",
 _xlfn.XLOOKUP(
   B13,#REF!,#REF!
 )
)</f>
        <v/>
      </c>
      <c r="H13" s="9" t="str">
        <f t="shared" ref="H12:H13" si="2">IF(A13="","",E13*G13)</f>
        <v/>
      </c>
      <c r="I13" s="9" t="str">
        <f t="shared" ref="I12:I13" si="3">IF(A13="","",F13-H13)</f>
        <v/>
      </c>
    </row>
  </sheetData>
  <pageMargins left="0.7" right="0.7" top="0.75" bottom="0.75" header="0.3" footer="0.3"/>
  <ignoredErrors>
    <ignoredError sqref="G9 G2" calculatedColumn="1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6C6A-4BB1-4405-B1BE-A187BB56D30A}">
  <dimension ref="A1:G7"/>
  <sheetViews>
    <sheetView workbookViewId="0">
      <selection activeCell="E24" sqref="E24"/>
    </sheetView>
  </sheetViews>
  <sheetFormatPr defaultRowHeight="15" x14ac:dyDescent="0.25"/>
  <cols>
    <col min="1" max="1" width="14.85546875" bestFit="1" customWidth="1"/>
    <col min="2" max="2" width="15.5703125" bestFit="1" customWidth="1"/>
    <col min="3" max="3" width="18.85546875" bestFit="1" customWidth="1"/>
    <col min="4" max="4" width="20" style="13" bestFit="1" customWidth="1"/>
    <col min="5" max="5" width="12.7109375" style="13" bestFit="1" customWidth="1"/>
    <col min="6" max="6" width="12.85546875" bestFit="1" customWidth="1"/>
    <col min="7" max="7" width="12.140625" style="13" bestFit="1" customWidth="1"/>
  </cols>
  <sheetData>
    <row r="1" spans="1:7" x14ac:dyDescent="0.25">
      <c r="A1" s="12" t="s">
        <v>0</v>
      </c>
      <c r="B1" s="11" t="s">
        <v>1</v>
      </c>
      <c r="C1" s="11" t="s">
        <v>90</v>
      </c>
      <c r="D1" s="14" t="s">
        <v>91</v>
      </c>
      <c r="E1" s="14" t="s">
        <v>92</v>
      </c>
      <c r="F1" s="11" t="s">
        <v>93</v>
      </c>
      <c r="G1" s="15" t="s">
        <v>94</v>
      </c>
    </row>
    <row r="2" spans="1:7" x14ac:dyDescent="0.25">
      <c r="A2" t="str">
        <f>IF(Master_Barang!A2="","",Master_Barang!A2)</f>
        <v>BR01</v>
      </c>
      <c r="B2" t="str">
        <f>IF(A2="","",_xlfn.XLOOKUP(A2,Master_Barang!A:A,Master_Barang!B:B))</f>
        <v>Telur</v>
      </c>
      <c r="C2">
        <f>IF(A2="","",SUMIFS(Barang_Masuk!H:H,Barang_Masuk!C:C,A2))</f>
        <v>240</v>
      </c>
      <c r="D2" s="13">
        <f>IF(A2="","",SUMIFS(Barang_Masuk!J:J,Barang_Masuk!C:C,A2))</f>
        <v>352000</v>
      </c>
      <c r="E2" s="13">
        <f>IF(C2=0,0,D2/C2)</f>
        <v>1466.6666666666667</v>
      </c>
      <c r="F2">
        <f>IF(A2="","",_xlfn.XLOOKUP(A2,Laporan_Stok!A:A,Laporan_Stok!C:C))</f>
        <v>150</v>
      </c>
      <c r="G2" s="13">
        <f>IF(F2&lt;=0,0,E2)</f>
        <v>1466.6666666666667</v>
      </c>
    </row>
    <row r="3" spans="1:7" x14ac:dyDescent="0.25">
      <c r="A3" t="str">
        <f>IF(Master_Barang!A3="","",Master_Barang!A3)</f>
        <v>BR02</v>
      </c>
      <c r="B3" t="str">
        <f>IF(A3="","",_xlfn.XLOOKUP(A3,Master_Barang!A:A,Master_Barang!B:B))</f>
        <v>Gula</v>
      </c>
      <c r="C3">
        <f>IF(A3="","",SUMIFS(Barang_Masuk!H:H,Barang_Masuk!C:C,A3))</f>
        <v>90</v>
      </c>
      <c r="D3" s="13">
        <f>IF(A3="","",SUMIFS(Barang_Masuk!J:J,Barang_Masuk!C:C,A3))</f>
        <v>1135000</v>
      </c>
      <c r="E3" s="13">
        <f>IF(C3=0,0,D3/C3)</f>
        <v>12611.111111111111</v>
      </c>
      <c r="F3">
        <f>IF(A3="","",_xlfn.XLOOKUP(A3,Laporan_Stok!A:A,Laporan_Stok!C:C))</f>
        <v>30</v>
      </c>
      <c r="G3" s="13">
        <f>IF(F3&lt;=0,0,E3)</f>
        <v>12611.111111111111</v>
      </c>
    </row>
    <row r="4" spans="1:7" x14ac:dyDescent="0.25">
      <c r="A4" t="str">
        <f>IF(Master_Barang!A4="","",Master_Barang!A4)</f>
        <v>BR03</v>
      </c>
      <c r="B4" t="str">
        <f>IF(A4="","",_xlfn.XLOOKUP(A4,Master_Barang!A:A,Master_Barang!B:B))</f>
        <v>Beras</v>
      </c>
      <c r="C4">
        <f>IF(A4="","",SUMIFS(Barang_Masuk!H:H,Barang_Masuk!C:C,A4))</f>
        <v>225</v>
      </c>
      <c r="D4" s="13">
        <f>IF(A4="","",SUMIFS(Barang_Masuk!J:J,Barang_Masuk!C:C,A4))</f>
        <v>2720000</v>
      </c>
      <c r="E4" s="13">
        <f t="shared" ref="E4:E7" si="0">IF(C4=0,0,D4/C4)</f>
        <v>12088.888888888889</v>
      </c>
      <c r="F4">
        <f>IF(A4="","",_xlfn.XLOOKUP(A4,Laporan_Stok!A:A,Laporan_Stok!C:C))</f>
        <v>105</v>
      </c>
      <c r="G4" s="13">
        <f t="shared" ref="G4:G7" si="1">IF(F4&lt;=0,0,E4)</f>
        <v>12088.888888888889</v>
      </c>
    </row>
    <row r="5" spans="1:7" x14ac:dyDescent="0.25">
      <c r="A5" t="str">
        <f>IF(Master_Barang!A5="","",Master_Barang!A5)</f>
        <v>BR04</v>
      </c>
      <c r="B5" t="str">
        <f>IF(A5="","",_xlfn.XLOOKUP(A5,Master_Barang!A:A,Master_Barang!B:B))</f>
        <v>Minyak</v>
      </c>
      <c r="C5">
        <f>IF(A5="","",SUMIFS(Barang_Masuk!H:H,Barang_Masuk!C:C,A5))</f>
        <v>30</v>
      </c>
      <c r="D5" s="13">
        <f>IF(A5="","",SUMIFS(Barang_Masuk!J:J,Barang_Masuk!C:C,A5))</f>
        <v>410000</v>
      </c>
      <c r="E5" s="13">
        <f t="shared" si="0"/>
        <v>13666.666666666666</v>
      </c>
      <c r="F5">
        <f>IF(A5="","",_xlfn.XLOOKUP(A5,Laporan_Stok!A:A,Laporan_Stok!C:C))</f>
        <v>20</v>
      </c>
      <c r="G5" s="13">
        <f t="shared" si="1"/>
        <v>13666.666666666666</v>
      </c>
    </row>
    <row r="6" spans="1:7" x14ac:dyDescent="0.25">
      <c r="A6" t="str">
        <f>IF(Master_Barang!A6="","",Master_Barang!A6)</f>
        <v>BR05</v>
      </c>
      <c r="B6" t="str">
        <f>IF(A6="","",_xlfn.XLOOKUP(A6,Master_Barang!A:A,Master_Barang!B:B))</f>
        <v>Kopi</v>
      </c>
      <c r="C6">
        <f>IF(A6="","",SUMIFS(Barang_Masuk!H:H,Barang_Masuk!C:C,A6))</f>
        <v>100</v>
      </c>
      <c r="D6" s="13">
        <f>IF(A6="","",SUMIFS(Barang_Masuk!J:J,Barang_Masuk!C:C,A6))</f>
        <v>390000</v>
      </c>
      <c r="E6" s="13">
        <f t="shared" si="0"/>
        <v>3900</v>
      </c>
      <c r="F6">
        <f>IF(A6="","",_xlfn.XLOOKUP(A6,Laporan_Stok!A:A,Laporan_Stok!C:C))</f>
        <v>80</v>
      </c>
      <c r="G6" s="13">
        <f t="shared" si="1"/>
        <v>3900</v>
      </c>
    </row>
    <row r="7" spans="1:7" x14ac:dyDescent="0.25">
      <c r="A7" t="str">
        <f>IF(Master_Barang!A7="","",Master_Barang!A7)</f>
        <v>BR06</v>
      </c>
      <c r="B7" t="str">
        <f>IF(A7="","",_xlfn.XLOOKUP(A7,Master_Barang!A:A,Master_Barang!B:B))</f>
        <v>Teh</v>
      </c>
      <c r="C7">
        <f>IF(A7="","",SUMIFS(Barang_Masuk!H:H,Barang_Masuk!C:C,A7))</f>
        <v>110</v>
      </c>
      <c r="D7" s="13">
        <f>IF(A7="","",SUMIFS(Barang_Masuk!J:J,Barang_Masuk!C:C,A7))</f>
        <v>195000</v>
      </c>
      <c r="E7" s="13">
        <f t="shared" si="0"/>
        <v>1772.7272727272727</v>
      </c>
      <c r="F7">
        <f>IF(A7="","",_xlfn.XLOOKUP(A7,Laporan_Stok!A:A,Laporan_Stok!C:C))</f>
        <v>90</v>
      </c>
      <c r="G7" s="13">
        <f t="shared" si="1"/>
        <v>1772.7272727272727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189B-9212-4250-99D4-B68EE3665B23}">
  <dimension ref="A1:C10"/>
  <sheetViews>
    <sheetView workbookViewId="0">
      <selection activeCell="B11" sqref="B11"/>
    </sheetView>
  </sheetViews>
  <sheetFormatPr defaultRowHeight="15" x14ac:dyDescent="0.25"/>
  <sheetData>
    <row r="1" spans="1:3" x14ac:dyDescent="0.25">
      <c r="A1" s="3" t="s">
        <v>40</v>
      </c>
      <c r="B1" s="3"/>
      <c r="C1" s="3"/>
    </row>
    <row r="2" spans="1:3" x14ac:dyDescent="0.25">
      <c r="A2" s="3" t="s">
        <v>2</v>
      </c>
      <c r="B2" s="3" t="s">
        <v>6</v>
      </c>
      <c r="C2" s="3" t="s">
        <v>5</v>
      </c>
    </row>
    <row r="3" spans="1:3" x14ac:dyDescent="0.25">
      <c r="A3" s="3" t="s">
        <v>41</v>
      </c>
      <c r="B3" s="3" t="s">
        <v>46</v>
      </c>
      <c r="C3" s="3" t="s">
        <v>7</v>
      </c>
    </row>
    <row r="4" spans="1:3" x14ac:dyDescent="0.25">
      <c r="A4" s="3" t="s">
        <v>42</v>
      </c>
      <c r="B4" s="3" t="s">
        <v>51</v>
      </c>
      <c r="C4" s="3" t="s">
        <v>8</v>
      </c>
    </row>
    <row r="5" spans="1:3" x14ac:dyDescent="0.25">
      <c r="A5" s="3" t="s">
        <v>43</v>
      </c>
      <c r="B5" s="3" t="s">
        <v>54</v>
      </c>
      <c r="C5" s="3"/>
    </row>
    <row r="6" spans="1:3" x14ac:dyDescent="0.25">
      <c r="A6" s="3" t="s">
        <v>44</v>
      </c>
      <c r="B6" s="3" t="s">
        <v>57</v>
      </c>
      <c r="C6" s="3"/>
    </row>
    <row r="7" spans="1:3" x14ac:dyDescent="0.25">
      <c r="A7" s="3" t="s">
        <v>45</v>
      </c>
      <c r="B7" s="3" t="s">
        <v>60</v>
      </c>
      <c r="C7" s="3"/>
    </row>
    <row r="8" spans="1:3" x14ac:dyDescent="0.25">
      <c r="B8" s="6" t="s">
        <v>61</v>
      </c>
    </row>
    <row r="9" spans="1:3" x14ac:dyDescent="0.25">
      <c r="B9" s="6" t="s">
        <v>62</v>
      </c>
    </row>
    <row r="10" spans="1:3" x14ac:dyDescent="0.25">
      <c r="B10" s="6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404A8F-5426-46DA-8F6D-B0740B72AE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</vt:i4>
      </vt:variant>
    </vt:vector>
  </HeadingPairs>
  <TitlesOfParts>
    <vt:vector size="10" baseType="lpstr">
      <vt:lpstr>Master_Barang</vt:lpstr>
      <vt:lpstr>Master_Konversi_Satuan</vt:lpstr>
      <vt:lpstr>Barang_Masuk</vt:lpstr>
      <vt:lpstr>Stok_Mutasi</vt:lpstr>
      <vt:lpstr>Penjualan</vt:lpstr>
      <vt:lpstr>Laporan_Stok</vt:lpstr>
      <vt:lpstr>Laporan_Penjualan</vt:lpstr>
      <vt:lpstr>Laporan_Laba</vt:lpstr>
      <vt:lpstr>HPP_Sederhana</vt:lpstr>
      <vt:lpstr>Master_Dropdown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 mc</dc:creator>
  <cp:lastModifiedBy>U mc</cp:lastModifiedBy>
  <dcterms:created xsi:type="dcterms:W3CDTF">2026-01-19T04:17:54Z</dcterms:created>
  <dcterms:modified xsi:type="dcterms:W3CDTF">2026-01-19T08:43:07Z</dcterms:modified>
</cp:coreProperties>
</file>